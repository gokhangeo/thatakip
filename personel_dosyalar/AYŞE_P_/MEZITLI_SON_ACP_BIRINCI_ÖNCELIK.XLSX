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k46300\Desktop\_MEZİTLİ_THA\IHDAS_16-4-2026_son kontrol\"/>
    </mc:Choice>
  </mc:AlternateContent>
  <xr:revisionPtr revIDLastSave="0" documentId="13_ncr:1_{97E8147A-FE51-467D-B053-84ED47EDCBD1}" xr6:coauthVersionLast="47" xr6:coauthVersionMax="47" xr10:uidLastSave="{00000000-0000-0000-0000-000000000000}"/>
  <bookViews>
    <workbookView xWindow="2340" yWindow="2700" windowWidth="34710" windowHeight="16500" xr2:uid="{00000000-000D-0000-FFFF-FFFF00000000}"/>
  </bookViews>
  <sheets>
    <sheet name="Sheet" sheetId="1" r:id="rId1"/>
    <sheet name="Sayfa1" sheetId="2" r:id="rId2"/>
  </sheets>
  <definedNames>
    <definedName name="_xlnm._FilterDatabase" localSheetId="0" hidden="1">Sheet!$B$1:$J$168</definedName>
    <definedName name="_xlnm.Print_Area" localSheetId="0">Sheet!$B$1:$J$54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2" l="1"/>
  <c r="Q19" i="2"/>
  <c r="Q20" i="2"/>
  <c r="Q21" i="2"/>
  <c r="Q22" i="2"/>
  <c r="Q23" i="2"/>
  <c r="Q24" i="2"/>
  <c r="Q25" i="2"/>
  <c r="Q26" i="2"/>
  <c r="Q6" i="2"/>
  <c r="Q7" i="2"/>
  <c r="Q8" i="2"/>
  <c r="Q9" i="2"/>
  <c r="Q10" i="2"/>
  <c r="Q11" i="2"/>
  <c r="Q12" i="2"/>
  <c r="Q13" i="2"/>
  <c r="Q14" i="2"/>
  <c r="Q15" i="2"/>
  <c r="Q16" i="2"/>
  <c r="Q17" i="2"/>
  <c r="Q4" i="2"/>
  <c r="Q5" i="2"/>
  <c r="Q2" i="2"/>
  <c r="Q3" i="2"/>
  <c r="Q1" i="2"/>
</calcChain>
</file>

<file path=xl/sharedStrings.xml><?xml version="1.0" encoding="utf-8"?>
<sst xmlns="http://schemas.openxmlformats.org/spreadsheetml/2006/main" count="1128" uniqueCount="100">
  <si>
    <t>THA ID</t>
  </si>
  <si>
    <t>İli</t>
  </si>
  <si>
    <t>İlçesi</t>
  </si>
  <si>
    <t>Mahallesi</t>
  </si>
  <si>
    <t>Yüzölçümü (m²)</t>
  </si>
  <si>
    <t>Nitelik</t>
  </si>
  <si>
    <t>Onay Durumu</t>
  </si>
  <si>
    <t>Tescil Önceliği</t>
  </si>
  <si>
    <t>Mersin</t>
  </si>
  <si>
    <t>Mezitli</t>
  </si>
  <si>
    <t>DAVULTEPE</t>
  </si>
  <si>
    <t>1.Öncelik - İmar Planı Sahasında</t>
  </si>
  <si>
    <t>FINDIKPINARI</t>
  </si>
  <si>
    <t>KUYULUK</t>
  </si>
  <si>
    <t>MEZİTLİ</t>
  </si>
  <si>
    <t>TECE</t>
  </si>
  <si>
    <t>Çalılık</t>
  </si>
  <si>
    <t>Taşlık</t>
  </si>
  <si>
    <t>2.Öncelik - Plana Yakın Alan</t>
  </si>
  <si>
    <t>Dere</t>
  </si>
  <si>
    <t>2B Alanı</t>
  </si>
  <si>
    <t>Kaya</t>
  </si>
  <si>
    <t>ÇEVLİK</t>
  </si>
  <si>
    <t>3.Öncelik - Plansız Değerlendirilebilir Alan</t>
  </si>
  <si>
    <t>DOĞANÇAY</t>
  </si>
  <si>
    <t>Sarı Alan Arazisi</t>
  </si>
  <si>
    <t>DOĞLU</t>
  </si>
  <si>
    <t>KALE</t>
  </si>
  <si>
    <t>Yar</t>
  </si>
  <si>
    <t>KALEBURNU</t>
  </si>
  <si>
    <t>Hali Arazi</t>
  </si>
  <si>
    <t>KUZUCU</t>
  </si>
  <si>
    <t>SARILAR</t>
  </si>
  <si>
    <t>TEPEKÖY</t>
  </si>
  <si>
    <t>569618,58</t>
  </si>
  <si>
    <t>ESKİ PLANDA MEYDAN YENİ PLANDA KONUT</t>
  </si>
  <si>
    <t xml:space="preserve">DURUM </t>
  </si>
  <si>
    <t>TESCİL EDİLEBİLİR</t>
  </si>
  <si>
    <t>TESCİL EDİLEMEZ</t>
  </si>
  <si>
    <t>İHDAS MH</t>
  </si>
  <si>
    <t>İHDAS BELEDİYE</t>
  </si>
  <si>
    <t>KISMEN YOL KISMEN PARK</t>
  </si>
  <si>
    <t>TERK SONUCU OLUŞMUŞ ALAN NEYE TERK EDİLMİŞ DEĞ BAK</t>
  </si>
  <si>
    <t>?</t>
  </si>
  <si>
    <t>PARKA TERK SONUCU OLUŞMUŞ ALAN</t>
  </si>
  <si>
    <t>KAPANAN YOL</t>
  </si>
  <si>
    <t xml:space="preserve">ORMAN OLABİLİR </t>
  </si>
  <si>
    <t>İYT</t>
  </si>
  <si>
    <t>TERK SONUCU OLUŞMUŞ ALAN NEYE TERK EDİLMİŞ DEĞ BAK 1961 PARSELİN</t>
  </si>
  <si>
    <t>KISMEN ORMAN OLABİLİR KISMEN 486 PARSELİN DEĞ TERK DEĞ BAK</t>
  </si>
  <si>
    <t>TERK SONUCU OLUŞMUŞ ALAN NEYE TERK EDİLMİŞ DEĞ BAK 1918 PARSELİN</t>
  </si>
  <si>
    <t>TERK SONUCU OLUŞMUŞ ALAN NEYE TERK EDİLMİŞ DEĞ BAK 1769 PARSELİN</t>
  </si>
  <si>
    <t>2B BLOĞU VEYA ORMANDA KALIYOR OLABİLİR</t>
  </si>
  <si>
    <t xml:space="preserve">1915 DEĞİŞİKLİĞİ İNCELE PARK VEYA YOL TERK İŞLEMİ YOK ESKİ PLAN DA KONUT </t>
  </si>
  <si>
    <t>TERK SONUCU OLUŞMUŞ ALAN NEYE TERK EDİLMİŞ DEĞ BAK 1923-1925PARSELİN</t>
  </si>
  <si>
    <t>PAFTASINDA TAŞLIK ÇALILIK</t>
  </si>
  <si>
    <t>ESKİ PLANDA PARK PLAN DEĞİŞİKLİĞİ GÖZÜKMÜYOR REV. PLANLARDA GÜNCEL PLANI KONTOROL ET</t>
  </si>
  <si>
    <t>açıklamalarım</t>
  </si>
  <si>
    <t>eski 303 parselin uygulamasında ne olarak ayrıldığı bulunamadı</t>
  </si>
  <si>
    <t>İDARİ YOLDAN TESCİL</t>
  </si>
  <si>
    <t>2b</t>
  </si>
  <si>
    <t>geometri yok</t>
  </si>
  <si>
    <t>486 parselin değ yok bir kısmı geometrisi yok</t>
  </si>
  <si>
    <t>494 parselin parka terkinden ihdas ncz de geometrisi çevrilmemiş</t>
  </si>
  <si>
    <t>729 parselin parka terk</t>
  </si>
  <si>
    <t>608/9 BATISI</t>
  </si>
  <si>
    <t>244/2 KUZEY DOĞUSU</t>
  </si>
  <si>
    <t>256/1 BATISI</t>
  </si>
  <si>
    <t>67/10 GÜNEYİ</t>
  </si>
  <si>
    <t>1000/1 GÜNEYİ</t>
  </si>
  <si>
    <t>674/9 GÜNEYİ</t>
  </si>
  <si>
    <t>11/9 GÜNEYİ</t>
  </si>
  <si>
    <t>321/1 GÜNEYİ</t>
  </si>
  <si>
    <t>1002/3 DOĞUSU</t>
  </si>
  <si>
    <t xml:space="preserve">701/8 GÜNEYİ </t>
  </si>
  <si>
    <t>0/2962 GÜNEYİ</t>
  </si>
  <si>
    <t>ncz de geometrisi çevrilmemiş MEYDAN VE YOL</t>
  </si>
  <si>
    <t>ncz de geometrisi çevrilmemiş YOL VE KONUT</t>
  </si>
  <si>
    <t>16170414_yeni isimli yeni alan tescil edilebilir. BİR KISMI YOLDA</t>
  </si>
  <si>
    <t>TESPİT EDİLEMEMİŞTİR.</t>
  </si>
  <si>
    <t>384/4 DOĞUSU YOL VE PARK tespit edilemiştir.</t>
  </si>
  <si>
    <t>184/1 PARSELİN KUZEYİ YOL VE PARK TESPİT EDİLEMEMİŞTİR.</t>
  </si>
  <si>
    <t>MERSİN</t>
  </si>
  <si>
    <t>ID</t>
  </si>
  <si>
    <t xml:space="preserve">1771-1772-1773 parseller var </t>
  </si>
  <si>
    <t>eski planda parka terk sonucu oluşan alan  - yeni planda yok</t>
  </si>
  <si>
    <t>KISMEN YOL KISMEN PARK (168484_acp yenialan)</t>
  </si>
  <si>
    <t>TERK SONUCU OLUŞMUŞ ALAN NEYE TERK EDİLMİŞ DEĞ BAK (168593/ACP yeni alan)</t>
  </si>
  <si>
    <t>PARKA TERK SONUCU OLUŞMUŞ ALAN (komşu parsele edit yapıldı)</t>
  </si>
  <si>
    <t>PARKA TERK SONUCU OLUŞMUŞ ALAN (168605/acp yeni alan konut alanına göre editlendi )</t>
  </si>
  <si>
    <t>PARKA TERK SONUCU OLUŞMUŞ ALAN (168590/acp yeni alan)</t>
  </si>
  <si>
    <t>PARKA TERK SONUCU OLUŞMUŞ ALAN (168606/acp yeni alan)</t>
  </si>
  <si>
    <t>PARKA TERK SONUCU OLUŞMUŞ ALAN (168601/acp yeni alan)</t>
  </si>
  <si>
    <t>PARKA TERK SONUCU OLUŞMUŞ ALAN (168494/acp yeni alan)</t>
  </si>
  <si>
    <t xml:space="preserve">PARKA TERK SONUCU OLUŞMUŞ ALAN </t>
  </si>
  <si>
    <t>PARKA TERK SONUCU OLUŞMUŞ ALAN (168/552/acp yeni alan)</t>
  </si>
  <si>
    <t>PARKA TERK SONUCU OLUŞMUŞ ALAN (168597/acp yeni alan)</t>
  </si>
  <si>
    <t>PARKA TERK SONUCU OLUŞMUŞ ALAN (168603/acp yeni alan)</t>
  </si>
  <si>
    <t>eski imar planında yol</t>
  </si>
  <si>
    <t>PARKA TERK SONUCU OLUŞMUŞ ALAN (168571/acp yeni alan)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</si>
</sst>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"/>
  </numFmts>
  <fonts count="8">
    <font>
      <sz val="11"/>
      <color theme="1"/>
      <name val="Calibri"/>
      <family val="2"/>
      <scheme val="minor"/>
    </font>
    <font>
      <sz val="9"/>
      <color rgb="FF000000"/>
      <name val="Times New Roman"/>
      <family val="1"/>
      <charset val="162"/>
    </font>
    <font>
      <sz val="9"/>
      <color rgb="FFFFFFFF"/>
      <name val="Time"/>
      <charset val="162"/>
    </font>
    <font>
      <sz val="9"/>
      <color rgb="FF000000"/>
      <name val="Time"/>
      <charset val="162"/>
    </font>
    <font>
      <sz val="9"/>
      <color rgb="FFFF0000"/>
      <name val="Time"/>
      <charset val="162"/>
    </font>
    <font>
      <sz val="9"/>
      <name val="Time"/>
      <charset val="162"/>
    </font>
    <font>
      <sz val="9"/>
      <color theme="1"/>
      <name val="Time"/>
      <charset val="162"/>
    </font>
    <font>
      <b/>
      <sz val="9"/>
      <color theme="1"/>
      <name val="Time"/>
      <charset val="162"/>
    </font>
  </fonts>
  <fills count="12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49" fontId="1" fillId="3" borderId="1" xfId="0" applyNumberFormat="1" applyFont="1" applyFill="1" applyBorder="1" applyAlignment="1">
      <alignment horizontal="left" vertical="center" wrapText="1" readingOrder="1"/>
    </xf>
    <xf numFmtId="0" fontId="1" fillId="3" borderId="1" xfId="0" applyNumberFormat="1" applyFont="1" applyFill="1" applyBorder="1" applyAlignment="1">
      <alignment horizontal="right" vertical="center" wrapText="1" readingOrder="1"/>
    </xf>
    <xf numFmtId="164" fontId="1" fillId="3" borderId="1" xfId="0" applyNumberFormat="1" applyFont="1" applyFill="1" applyBorder="1" applyAlignment="1">
      <alignment horizontal="right" vertical="center" wrapText="1" readingOrder="1"/>
    </xf>
    <xf numFmtId="49" fontId="1" fillId="4" borderId="1" xfId="0" applyNumberFormat="1" applyFont="1" applyFill="1" applyBorder="1" applyAlignment="1">
      <alignment horizontal="left" vertical="center" wrapText="1" readingOrder="1"/>
    </xf>
    <xf numFmtId="49" fontId="1" fillId="4" borderId="1" xfId="0" applyNumberFormat="1" applyFont="1" applyFill="1" applyBorder="1" applyAlignment="1">
      <alignment horizontal="right" vertical="center" wrapText="1" readingOrder="1"/>
    </xf>
    <xf numFmtId="0" fontId="0" fillId="0" borderId="0" xfId="0" applyNumberFormat="1"/>
    <xf numFmtId="0" fontId="1" fillId="3" borderId="3" xfId="0" applyNumberFormat="1" applyFont="1" applyFill="1" applyBorder="1" applyAlignment="1">
      <alignment horizontal="right" vertical="center" wrapText="1" readingOrder="1"/>
    </xf>
    <xf numFmtId="49" fontId="1" fillId="3" borderId="3" xfId="0" applyNumberFormat="1" applyFont="1" applyFill="1" applyBorder="1" applyAlignment="1">
      <alignment horizontal="left" vertical="center" wrapText="1" readingOrder="1"/>
    </xf>
    <xf numFmtId="164" fontId="1" fillId="3" borderId="3" xfId="0" applyNumberFormat="1" applyFont="1" applyFill="1" applyBorder="1" applyAlignment="1">
      <alignment horizontal="right" vertical="center" wrapText="1" readingOrder="1"/>
    </xf>
    <xf numFmtId="0" fontId="2" fillId="2" borderId="2" xfId="0" applyNumberFormat="1" applyFont="1" applyFill="1" applyBorder="1" applyAlignment="1">
      <alignment horizontal="center" vertical="center" wrapText="1" readingOrder="1"/>
    </xf>
    <xf numFmtId="0" fontId="3" fillId="6" borderId="2" xfId="0" applyNumberFormat="1" applyFont="1" applyFill="1" applyBorder="1" applyAlignment="1">
      <alignment horizontal="right" vertical="center" wrapText="1" readingOrder="1"/>
    </xf>
    <xf numFmtId="49" fontId="3" fillId="6" borderId="2" xfId="0" applyNumberFormat="1" applyFont="1" applyFill="1" applyBorder="1" applyAlignment="1">
      <alignment horizontal="left" vertical="center" wrapText="1" readingOrder="1"/>
    </xf>
    <xf numFmtId="164" fontId="3" fillId="6" borderId="2" xfId="0" applyNumberFormat="1" applyFont="1" applyFill="1" applyBorder="1" applyAlignment="1">
      <alignment horizontal="right" vertical="center" wrapText="1" readingOrder="1"/>
    </xf>
    <xf numFmtId="0" fontId="4" fillId="3" borderId="2" xfId="0" applyNumberFormat="1" applyFont="1" applyFill="1" applyBorder="1" applyAlignment="1">
      <alignment horizontal="right" vertical="center" wrapText="1" readingOrder="1"/>
    </xf>
    <xf numFmtId="49" fontId="4" fillId="3" borderId="2" xfId="0" applyNumberFormat="1" applyFont="1" applyFill="1" applyBorder="1" applyAlignment="1">
      <alignment horizontal="left" vertical="center" wrapText="1" readingOrder="1"/>
    </xf>
    <xf numFmtId="164" fontId="4" fillId="3" borderId="2" xfId="0" applyNumberFormat="1" applyFont="1" applyFill="1" applyBorder="1" applyAlignment="1">
      <alignment horizontal="right" vertical="center" wrapText="1" readingOrder="1"/>
    </xf>
    <xf numFmtId="0" fontId="3" fillId="7" borderId="2" xfId="0" applyNumberFormat="1" applyFont="1" applyFill="1" applyBorder="1" applyAlignment="1">
      <alignment horizontal="right" vertical="center" wrapText="1" readingOrder="1"/>
    </xf>
    <xf numFmtId="49" fontId="3" fillId="7" borderId="2" xfId="0" applyNumberFormat="1" applyFont="1" applyFill="1" applyBorder="1" applyAlignment="1">
      <alignment horizontal="left" vertical="center" wrapText="1" readingOrder="1"/>
    </xf>
    <xf numFmtId="164" fontId="3" fillId="7" borderId="2" xfId="0" applyNumberFormat="1" applyFont="1" applyFill="1" applyBorder="1" applyAlignment="1">
      <alignment horizontal="right" vertical="center" wrapText="1" readingOrder="1"/>
    </xf>
    <xf numFmtId="0" fontId="5" fillId="6" borderId="2" xfId="0" applyNumberFormat="1" applyFont="1" applyFill="1" applyBorder="1" applyAlignment="1">
      <alignment horizontal="right" vertical="center" wrapText="1" readingOrder="1"/>
    </xf>
    <xf numFmtId="49" fontId="5" fillId="6" borderId="2" xfId="0" applyNumberFormat="1" applyFont="1" applyFill="1" applyBorder="1" applyAlignment="1">
      <alignment horizontal="left" vertical="center" wrapText="1" readingOrder="1"/>
    </xf>
    <xf numFmtId="164" fontId="5" fillId="6" borderId="2" xfId="0" applyNumberFormat="1" applyFont="1" applyFill="1" applyBorder="1" applyAlignment="1">
      <alignment horizontal="right" vertical="center" wrapText="1" readingOrder="1"/>
    </xf>
    <xf numFmtId="0" fontId="6" fillId="7" borderId="2" xfId="0" applyNumberFormat="1" applyFont="1" applyFill="1" applyBorder="1" applyAlignment="1">
      <alignment horizontal="right" vertical="center" wrapText="1" readingOrder="1"/>
    </xf>
    <xf numFmtId="49" fontId="6" fillId="7" borderId="2" xfId="0" applyNumberFormat="1" applyFont="1" applyFill="1" applyBorder="1" applyAlignment="1">
      <alignment horizontal="left" vertical="center" wrapText="1" readingOrder="1"/>
    </xf>
    <xf numFmtId="164" fontId="6" fillId="7" borderId="2" xfId="0" applyNumberFormat="1" applyFont="1" applyFill="1" applyBorder="1" applyAlignment="1">
      <alignment horizontal="right" vertical="center" wrapText="1" readingOrder="1"/>
    </xf>
    <xf numFmtId="0" fontId="3" fillId="8" borderId="2" xfId="0" applyNumberFormat="1" applyFont="1" applyFill="1" applyBorder="1" applyAlignment="1">
      <alignment horizontal="right" vertical="center" wrapText="1" readingOrder="1"/>
    </xf>
    <xf numFmtId="49" fontId="3" fillId="8" borderId="2" xfId="0" applyNumberFormat="1" applyFont="1" applyFill="1" applyBorder="1" applyAlignment="1">
      <alignment horizontal="left" vertical="center" wrapText="1" readingOrder="1"/>
    </xf>
    <xf numFmtId="164" fontId="3" fillId="8" borderId="2" xfId="0" applyNumberFormat="1" applyFont="1" applyFill="1" applyBorder="1" applyAlignment="1">
      <alignment horizontal="right" vertical="center" wrapText="1" readingOrder="1"/>
    </xf>
    <xf numFmtId="0" fontId="4" fillId="0" borderId="2" xfId="0" applyNumberFormat="1" applyFont="1" applyFill="1" applyBorder="1" applyAlignment="1">
      <alignment horizontal="right" vertical="center" wrapText="1" readingOrder="1"/>
    </xf>
    <xf numFmtId="49" fontId="4" fillId="0" borderId="2" xfId="0" applyNumberFormat="1" applyFont="1" applyFill="1" applyBorder="1" applyAlignment="1">
      <alignment horizontal="left" vertical="center" wrapText="1" readingOrder="1"/>
    </xf>
    <xf numFmtId="164" fontId="4" fillId="0" borderId="2" xfId="0" applyNumberFormat="1" applyFont="1" applyFill="1" applyBorder="1" applyAlignment="1">
      <alignment horizontal="right" vertical="center" wrapText="1" readingOrder="1"/>
    </xf>
    <xf numFmtId="49" fontId="5" fillId="7" borderId="2" xfId="0" applyNumberFormat="1" applyFont="1" applyFill="1" applyBorder="1" applyAlignment="1">
      <alignment horizontal="left" vertical="center" wrapText="1" readingOrder="1"/>
    </xf>
    <xf numFmtId="0" fontId="7" fillId="5" borderId="2" xfId="0" applyFont="1" applyFill="1" applyBorder="1" applyAlignment="1">
      <alignment horizontal="center" vertical="center"/>
    </xf>
    <xf numFmtId="0" fontId="6" fillId="0" borderId="0" xfId="0" applyFont="1"/>
    <xf numFmtId="0" fontId="6" fillId="5" borderId="2" xfId="0" applyFont="1" applyFill="1" applyBorder="1"/>
    <xf numFmtId="0" fontId="6" fillId="6" borderId="2" xfId="0" applyFont="1" applyFill="1" applyBorder="1"/>
    <xf numFmtId="0" fontId="6" fillId="5" borderId="0" xfId="0" applyFont="1" applyFill="1"/>
    <xf numFmtId="0" fontId="4" fillId="0" borderId="0" xfId="0" applyFont="1"/>
    <xf numFmtId="0" fontId="6" fillId="7" borderId="2" xfId="0" applyFont="1" applyFill="1" applyBorder="1"/>
    <xf numFmtId="0" fontId="5" fillId="5" borderId="2" xfId="0" applyFont="1" applyFill="1" applyBorder="1"/>
    <xf numFmtId="0" fontId="5" fillId="5" borderId="0" xfId="0" applyFont="1" applyFill="1"/>
    <xf numFmtId="0" fontId="6" fillId="0" borderId="0" xfId="0" applyFont="1" applyFill="1"/>
    <xf numFmtId="0" fontId="6" fillId="8" borderId="2" xfId="0" applyFont="1" applyFill="1" applyBorder="1"/>
    <xf numFmtId="0" fontId="6" fillId="9" borderId="0" xfId="0" applyFont="1" applyFill="1"/>
    <xf numFmtId="0" fontId="5" fillId="6" borderId="2" xfId="0" applyFont="1" applyFill="1" applyBorder="1"/>
    <xf numFmtId="0" fontId="6" fillId="5" borderId="4" xfId="0" applyFont="1" applyFill="1" applyBorder="1"/>
    <xf numFmtId="0" fontId="2" fillId="2" borderId="2" xfId="0" applyNumberFormat="1" applyFont="1" applyFill="1" applyBorder="1" applyAlignment="1">
      <alignment horizontal="center" vertical="top" wrapText="1" readingOrder="1"/>
    </xf>
    <xf numFmtId="49" fontId="3" fillId="6" borderId="2" xfId="0" applyNumberFormat="1" applyFont="1" applyFill="1" applyBorder="1" applyAlignment="1">
      <alignment horizontal="center" vertical="top" wrapText="1" readingOrder="1"/>
    </xf>
    <xf numFmtId="49" fontId="4" fillId="3" borderId="2" xfId="0" applyNumberFormat="1" applyFont="1" applyFill="1" applyBorder="1" applyAlignment="1">
      <alignment horizontal="center" vertical="top" wrapText="1" readingOrder="1"/>
    </xf>
    <xf numFmtId="49" fontId="3" fillId="7" borderId="2" xfId="0" applyNumberFormat="1" applyFont="1" applyFill="1" applyBorder="1" applyAlignment="1">
      <alignment horizontal="center" vertical="top" wrapText="1" readingOrder="1"/>
    </xf>
    <xf numFmtId="49" fontId="5" fillId="6" borderId="2" xfId="0" applyNumberFormat="1" applyFont="1" applyFill="1" applyBorder="1" applyAlignment="1">
      <alignment horizontal="center" vertical="top" wrapText="1" readingOrder="1"/>
    </xf>
    <xf numFmtId="49" fontId="6" fillId="7" borderId="2" xfId="0" applyNumberFormat="1" applyFont="1" applyFill="1" applyBorder="1" applyAlignment="1">
      <alignment horizontal="center" vertical="top" wrapText="1" readingOrder="1"/>
    </xf>
    <xf numFmtId="49" fontId="3" fillId="8" borderId="2" xfId="0" applyNumberFormat="1" applyFont="1" applyFill="1" applyBorder="1" applyAlignment="1">
      <alignment horizontal="center" vertical="top" wrapText="1" readingOrder="1"/>
    </xf>
    <xf numFmtId="0" fontId="6" fillId="0" borderId="0" xfId="0" applyFont="1" applyAlignment="1">
      <alignment horizontal="center" vertical="top"/>
    </xf>
    <xf numFmtId="0" fontId="6" fillId="10" borderId="2" xfId="0" applyFont="1" applyFill="1" applyBorder="1"/>
    <xf numFmtId="164" fontId="6" fillId="10" borderId="2" xfId="0" applyNumberFormat="1" applyFont="1" applyFill="1" applyBorder="1" applyAlignment="1">
      <alignment horizontal="right" vertical="center" wrapText="1" readingOrder="1"/>
    </xf>
    <xf numFmtId="49" fontId="6" fillId="10" borderId="2" xfId="0" applyNumberFormat="1" applyFont="1" applyFill="1" applyBorder="1" applyAlignment="1">
      <alignment horizontal="left" vertical="center" wrapText="1" readingOrder="1"/>
    </xf>
    <xf numFmtId="49" fontId="6" fillId="10" borderId="2" xfId="0" applyNumberFormat="1" applyFont="1" applyFill="1" applyBorder="1" applyAlignment="1">
      <alignment horizontal="center" vertical="top" wrapText="1" readingOrder="1"/>
    </xf>
    <xf numFmtId="0" fontId="6" fillId="6" borderId="2" xfId="0" applyFont="1" applyFill="1" applyBorder="1" applyAlignment="1">
      <alignment horizontal="center" vertical="top"/>
    </xf>
    <xf numFmtId="0" fontId="5" fillId="11" borderId="2" xfId="0" applyFont="1" applyFill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Fill="1" applyBorder="1"/>
    <xf numFmtId="0" fontId="5" fillId="5" borderId="2" xfId="0" applyNumberFormat="1" applyFont="1" applyFill="1" applyBorder="1"/>
    <xf numFmtId="0" fontId="5" fillId="10" borderId="2" xfId="0" applyNumberFormat="1" applyFont="1" applyFill="1" applyBorder="1"/>
    <xf numFmtId="0" fontId="5" fillId="0" borderId="0" xfId="0" applyFont="1"/>
    <xf numFmtId="0" fontId="5" fillId="11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K176"/>
  <sheetViews>
    <sheetView showGridLines="0" tabSelected="1" topLeftCell="A21" zoomScale="115" zoomScaleNormal="115" workbookViewId="0">
      <selection activeCell="A45" sqref="A45"/>
    </sheetView>
  </sheetViews>
  <sheetFormatPr defaultRowHeight="12"/>
  <cols>
    <col min="1" max="1" width="9.140625" style="66"/>
    <col min="2" max="2" width="8.140625" style="34" customWidth="1"/>
    <col min="3" max="3" width="8.7109375" style="34" customWidth="1"/>
    <col min="4" max="4" width="7.28515625" style="34" customWidth="1"/>
    <col min="5" max="5" width="13.28515625" style="34" customWidth="1"/>
    <col min="6" max="6" width="16.85546875" style="34" bestFit="1" customWidth="1"/>
    <col min="7" max="7" width="88.7109375" style="34" customWidth="1"/>
    <col min="8" max="8" width="15.5703125" style="34" bestFit="1" customWidth="1"/>
    <col min="9" max="9" width="18.28515625" style="34" customWidth="1"/>
    <col min="10" max="10" width="24.28515625" style="54" customWidth="1"/>
    <col min="11" max="11" width="44.42578125" style="35" customWidth="1"/>
    <col min="12" max="16384" width="9.140625" style="34"/>
  </cols>
  <sheetData>
    <row r="1" spans="1:11" ht="13.5" customHeight="1">
      <c r="A1" s="61" t="s">
        <v>83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36</v>
      </c>
      <c r="J1" s="47" t="s">
        <v>7</v>
      </c>
      <c r="K1" s="33" t="s">
        <v>57</v>
      </c>
    </row>
    <row r="2" spans="1:11" s="37" customFormat="1" ht="13.5" customHeight="1">
      <c r="A2" s="40">
        <v>168480</v>
      </c>
      <c r="B2" s="11">
        <v>16169888</v>
      </c>
      <c r="C2" s="12" t="s">
        <v>8</v>
      </c>
      <c r="D2" s="12" t="s">
        <v>9</v>
      </c>
      <c r="E2" s="12" t="s">
        <v>10</v>
      </c>
      <c r="F2" s="13">
        <v>1090.17</v>
      </c>
      <c r="G2" s="12" t="s">
        <v>35</v>
      </c>
      <c r="H2" s="12" t="s">
        <v>39</v>
      </c>
      <c r="I2" s="12" t="s">
        <v>38</v>
      </c>
      <c r="J2" s="48" t="s">
        <v>11</v>
      </c>
      <c r="K2" s="36" t="s">
        <v>76</v>
      </c>
    </row>
    <row r="3" spans="1:11" s="38" customFormat="1" ht="13.5" customHeight="1">
      <c r="A3" s="62">
        <v>168476</v>
      </c>
      <c r="B3" s="14">
        <v>16169848</v>
      </c>
      <c r="C3" s="15" t="s">
        <v>8</v>
      </c>
      <c r="D3" s="15" t="s">
        <v>9</v>
      </c>
      <c r="E3" s="15" t="s">
        <v>10</v>
      </c>
      <c r="F3" s="16">
        <v>1006.24</v>
      </c>
      <c r="G3" s="15" t="s">
        <v>45</v>
      </c>
      <c r="H3" s="15" t="s">
        <v>40</v>
      </c>
      <c r="I3" s="15" t="s">
        <v>38</v>
      </c>
      <c r="J3" s="49" t="s">
        <v>11</v>
      </c>
      <c r="K3" s="35"/>
    </row>
    <row r="4" spans="1:11" s="38" customFormat="1" ht="13.5" customHeight="1">
      <c r="A4" s="62">
        <v>168477</v>
      </c>
      <c r="B4" s="14">
        <v>16169987</v>
      </c>
      <c r="C4" s="15" t="s">
        <v>8</v>
      </c>
      <c r="D4" s="15" t="s">
        <v>9</v>
      </c>
      <c r="E4" s="15" t="s">
        <v>10</v>
      </c>
      <c r="F4" s="16">
        <v>906.02</v>
      </c>
      <c r="G4" s="15" t="s">
        <v>45</v>
      </c>
      <c r="H4" s="15" t="s">
        <v>40</v>
      </c>
      <c r="I4" s="15" t="s">
        <v>38</v>
      </c>
      <c r="J4" s="49" t="s">
        <v>11</v>
      </c>
      <c r="K4" s="35"/>
    </row>
    <row r="5" spans="1:11" s="37" customFormat="1" ht="13.5" customHeight="1">
      <c r="A5" s="60">
        <v>168484</v>
      </c>
      <c r="B5" s="17">
        <v>16170110</v>
      </c>
      <c r="C5" s="18" t="s">
        <v>8</v>
      </c>
      <c r="D5" s="18" t="s">
        <v>9</v>
      </c>
      <c r="E5" s="18" t="s">
        <v>10</v>
      </c>
      <c r="F5" s="19">
        <v>669.41</v>
      </c>
      <c r="G5" s="18" t="s">
        <v>86</v>
      </c>
      <c r="H5" s="18" t="s">
        <v>39</v>
      </c>
      <c r="I5" s="18" t="s">
        <v>37</v>
      </c>
      <c r="J5" s="50" t="s">
        <v>11</v>
      </c>
      <c r="K5" s="39" t="s">
        <v>63</v>
      </c>
    </row>
    <row r="6" spans="1:11" s="38" customFormat="1" ht="13.5" customHeight="1">
      <c r="A6" s="62">
        <v>168592</v>
      </c>
      <c r="B6" s="14">
        <v>16170014</v>
      </c>
      <c r="C6" s="15" t="s">
        <v>8</v>
      </c>
      <c r="D6" s="15" t="s">
        <v>9</v>
      </c>
      <c r="E6" s="15" t="s">
        <v>10</v>
      </c>
      <c r="F6" s="16">
        <v>665.46</v>
      </c>
      <c r="G6" s="15" t="s">
        <v>45</v>
      </c>
      <c r="H6" s="15" t="s">
        <v>40</v>
      </c>
      <c r="I6" s="15" t="s">
        <v>38</v>
      </c>
      <c r="J6" s="49" t="s">
        <v>11</v>
      </c>
      <c r="K6" s="35"/>
    </row>
    <row r="7" spans="1:11" s="38" customFormat="1" ht="13.5" customHeight="1">
      <c r="A7" s="62">
        <v>168602</v>
      </c>
      <c r="B7" s="14">
        <v>16170015</v>
      </c>
      <c r="C7" s="15" t="s">
        <v>8</v>
      </c>
      <c r="D7" s="15" t="s">
        <v>9</v>
      </c>
      <c r="E7" s="15" t="s">
        <v>10</v>
      </c>
      <c r="F7" s="16">
        <v>705.59</v>
      </c>
      <c r="G7" s="15" t="s">
        <v>45</v>
      </c>
      <c r="H7" s="15" t="s">
        <v>40</v>
      </c>
      <c r="I7" s="15" t="s">
        <v>38</v>
      </c>
      <c r="J7" s="49" t="s">
        <v>11</v>
      </c>
      <c r="K7" s="35"/>
    </row>
    <row r="8" spans="1:11" s="41" customFormat="1" ht="13.5" customHeight="1">
      <c r="A8" s="40">
        <v>168481</v>
      </c>
      <c r="B8" s="20">
        <v>16170025</v>
      </c>
      <c r="C8" s="21" t="s">
        <v>8</v>
      </c>
      <c r="D8" s="21" t="s">
        <v>9</v>
      </c>
      <c r="E8" s="21" t="s">
        <v>10</v>
      </c>
      <c r="F8" s="22">
        <v>535.02</v>
      </c>
      <c r="G8" s="21" t="s">
        <v>42</v>
      </c>
      <c r="H8" s="21" t="s">
        <v>43</v>
      </c>
      <c r="I8" s="21" t="s">
        <v>38</v>
      </c>
      <c r="J8" s="51" t="s">
        <v>11</v>
      </c>
      <c r="K8" s="36" t="s">
        <v>77</v>
      </c>
    </row>
    <row r="9" spans="1:11" s="38" customFormat="1" ht="13.5" customHeight="1">
      <c r="A9" s="62">
        <v>168486</v>
      </c>
      <c r="B9" s="14">
        <v>16170165</v>
      </c>
      <c r="C9" s="15" t="s">
        <v>8</v>
      </c>
      <c r="D9" s="15" t="s">
        <v>9</v>
      </c>
      <c r="E9" s="15" t="s">
        <v>10</v>
      </c>
      <c r="F9" s="16">
        <v>479.56</v>
      </c>
      <c r="G9" s="15" t="s">
        <v>45</v>
      </c>
      <c r="H9" s="15" t="s">
        <v>40</v>
      </c>
      <c r="I9" s="15" t="s">
        <v>38</v>
      </c>
      <c r="J9" s="49" t="s">
        <v>11</v>
      </c>
      <c r="K9" s="35"/>
    </row>
    <row r="10" spans="1:11" s="37" customFormat="1" ht="13.5" customHeight="1">
      <c r="A10" s="60">
        <v>168593</v>
      </c>
      <c r="B10" s="23">
        <v>16170414</v>
      </c>
      <c r="C10" s="24" t="s">
        <v>8</v>
      </c>
      <c r="D10" s="24" t="s">
        <v>9</v>
      </c>
      <c r="E10" s="24" t="s">
        <v>10</v>
      </c>
      <c r="F10" s="25">
        <v>411.82</v>
      </c>
      <c r="G10" s="24" t="s">
        <v>87</v>
      </c>
      <c r="H10" s="24"/>
      <c r="I10" s="24" t="s">
        <v>37</v>
      </c>
      <c r="J10" s="52" t="s">
        <v>11</v>
      </c>
      <c r="K10" s="39" t="s">
        <v>78</v>
      </c>
    </row>
    <row r="11" spans="1:11" s="38" customFormat="1" ht="13.5" customHeight="1">
      <c r="A11" s="62">
        <v>168482</v>
      </c>
      <c r="B11" s="14">
        <v>16170108</v>
      </c>
      <c r="C11" s="15" t="s">
        <v>8</v>
      </c>
      <c r="D11" s="15" t="s">
        <v>9</v>
      </c>
      <c r="E11" s="15" t="s">
        <v>10</v>
      </c>
      <c r="F11" s="16">
        <v>389.01</v>
      </c>
      <c r="G11" s="15" t="s">
        <v>45</v>
      </c>
      <c r="H11" s="15" t="s">
        <v>40</v>
      </c>
      <c r="I11" s="15" t="s">
        <v>38</v>
      </c>
      <c r="J11" s="49" t="s">
        <v>11</v>
      </c>
      <c r="K11" s="35"/>
    </row>
    <row r="12" spans="1:11" s="38" customFormat="1" ht="13.5" customHeight="1">
      <c r="A12" s="62">
        <v>168594</v>
      </c>
      <c r="B12" s="14">
        <v>16169896</v>
      </c>
      <c r="C12" s="15" t="s">
        <v>8</v>
      </c>
      <c r="D12" s="15" t="s">
        <v>9</v>
      </c>
      <c r="E12" s="15" t="s">
        <v>10</v>
      </c>
      <c r="F12" s="16">
        <v>260.69</v>
      </c>
      <c r="G12" s="15" t="s">
        <v>45</v>
      </c>
      <c r="H12" s="15" t="s">
        <v>40</v>
      </c>
      <c r="I12" s="15" t="s">
        <v>38</v>
      </c>
      <c r="J12" s="49" t="s">
        <v>11</v>
      </c>
      <c r="K12" s="35"/>
    </row>
    <row r="13" spans="1:11" s="42" customFormat="1" ht="13.5" customHeight="1">
      <c r="A13" s="63">
        <v>168489</v>
      </c>
      <c r="B13" s="11">
        <v>16170302</v>
      </c>
      <c r="C13" s="12" t="s">
        <v>8</v>
      </c>
      <c r="D13" s="12" t="s">
        <v>9</v>
      </c>
      <c r="E13" s="12" t="s">
        <v>10</v>
      </c>
      <c r="F13" s="13">
        <v>3189.97</v>
      </c>
      <c r="G13" s="12" t="s">
        <v>42</v>
      </c>
      <c r="H13" s="12" t="s">
        <v>43</v>
      </c>
      <c r="I13" s="12" t="s">
        <v>43</v>
      </c>
      <c r="J13" s="48" t="s">
        <v>11</v>
      </c>
      <c r="K13" s="36" t="s">
        <v>61</v>
      </c>
    </row>
    <row r="14" spans="1:11" ht="13.5" customHeight="1">
      <c r="A14" s="62">
        <v>168488</v>
      </c>
      <c r="B14" s="26">
        <v>16170303</v>
      </c>
      <c r="C14" s="27" t="s">
        <v>8</v>
      </c>
      <c r="D14" s="27" t="s">
        <v>9</v>
      </c>
      <c r="E14" s="27" t="s">
        <v>10</v>
      </c>
      <c r="F14" s="28">
        <v>2345.81</v>
      </c>
      <c r="G14" s="27" t="s">
        <v>42</v>
      </c>
      <c r="H14" s="27" t="s">
        <v>43</v>
      </c>
      <c r="I14" s="27" t="s">
        <v>38</v>
      </c>
      <c r="J14" s="53" t="s">
        <v>11</v>
      </c>
      <c r="K14" s="43" t="s">
        <v>58</v>
      </c>
    </row>
    <row r="15" spans="1:11" s="37" customFormat="1" ht="13.5" customHeight="1">
      <c r="A15" s="60">
        <v>168491</v>
      </c>
      <c r="B15" s="23">
        <v>16170398</v>
      </c>
      <c r="C15" s="24" t="s">
        <v>8</v>
      </c>
      <c r="D15" s="24" t="s">
        <v>9</v>
      </c>
      <c r="E15" s="24" t="s">
        <v>10</v>
      </c>
      <c r="F15" s="25">
        <v>576.6</v>
      </c>
      <c r="G15" s="24" t="s">
        <v>88</v>
      </c>
      <c r="H15" s="24" t="s">
        <v>39</v>
      </c>
      <c r="I15" s="24" t="s">
        <v>37</v>
      </c>
      <c r="J15" s="52" t="s">
        <v>11</v>
      </c>
      <c r="K15" s="39"/>
    </row>
    <row r="16" spans="1:11" ht="13.5" customHeight="1">
      <c r="A16" s="62">
        <v>168475</v>
      </c>
      <c r="B16" s="26">
        <v>16170219</v>
      </c>
      <c r="C16" s="27" t="s">
        <v>8</v>
      </c>
      <c r="D16" s="27" t="s">
        <v>9</v>
      </c>
      <c r="E16" s="27" t="s">
        <v>10</v>
      </c>
      <c r="F16" s="28">
        <v>328.11</v>
      </c>
      <c r="G16" s="27" t="s">
        <v>42</v>
      </c>
      <c r="H16" s="27" t="s">
        <v>43</v>
      </c>
      <c r="I16" s="27" t="s">
        <v>38</v>
      </c>
      <c r="J16" s="53" t="s">
        <v>11</v>
      </c>
      <c r="K16" s="43" t="s">
        <v>80</v>
      </c>
    </row>
    <row r="17" spans="1:11" s="44" customFormat="1" ht="13.5" customHeight="1">
      <c r="A17" s="64">
        <v>168602</v>
      </c>
      <c r="B17" s="36"/>
      <c r="C17" s="36" t="s">
        <v>82</v>
      </c>
      <c r="D17" s="36" t="s">
        <v>14</v>
      </c>
      <c r="E17" s="36" t="s">
        <v>10</v>
      </c>
      <c r="F17" s="12"/>
      <c r="G17" s="12" t="s">
        <v>98</v>
      </c>
      <c r="H17" s="12"/>
      <c r="I17" s="21" t="s">
        <v>38</v>
      </c>
      <c r="J17" s="48"/>
      <c r="K17" s="36"/>
    </row>
    <row r="18" spans="1:11" s="38" customFormat="1" ht="13.5" customHeight="1">
      <c r="A18" s="62">
        <v>168569</v>
      </c>
      <c r="B18" s="14">
        <v>16965484</v>
      </c>
      <c r="C18" s="15" t="s">
        <v>8</v>
      </c>
      <c r="D18" s="15" t="s">
        <v>9</v>
      </c>
      <c r="E18" s="15" t="s">
        <v>12</v>
      </c>
      <c r="F18" s="16">
        <v>411.49</v>
      </c>
      <c r="G18" s="15" t="s">
        <v>45</v>
      </c>
      <c r="H18" s="15" t="s">
        <v>40</v>
      </c>
      <c r="I18" s="15" t="s">
        <v>38</v>
      </c>
      <c r="J18" s="49" t="s">
        <v>11</v>
      </c>
      <c r="K18" s="35"/>
    </row>
    <row r="19" spans="1:11" s="42" customFormat="1" ht="13.5" customHeight="1">
      <c r="A19" s="63">
        <v>168546</v>
      </c>
      <c r="B19" s="11">
        <v>16435856</v>
      </c>
      <c r="C19" s="12" t="s">
        <v>8</v>
      </c>
      <c r="D19" s="12" t="s">
        <v>9</v>
      </c>
      <c r="E19" s="12" t="s">
        <v>13</v>
      </c>
      <c r="F19" s="13">
        <v>6543.86</v>
      </c>
      <c r="G19" s="12" t="s">
        <v>42</v>
      </c>
      <c r="H19" s="12" t="s">
        <v>43</v>
      </c>
      <c r="I19" s="12" t="s">
        <v>43</v>
      </c>
      <c r="J19" s="48" t="s">
        <v>11</v>
      </c>
      <c r="K19" s="36" t="s">
        <v>60</v>
      </c>
    </row>
    <row r="20" spans="1:11" s="38" customFormat="1" ht="13.5" customHeight="1">
      <c r="A20" s="62">
        <v>168595</v>
      </c>
      <c r="B20" s="20">
        <v>16435799</v>
      </c>
      <c r="C20" s="21" t="s">
        <v>8</v>
      </c>
      <c r="D20" s="21" t="s">
        <v>9</v>
      </c>
      <c r="E20" s="21" t="s">
        <v>13</v>
      </c>
      <c r="F20" s="22">
        <v>2750.7</v>
      </c>
      <c r="G20" s="21" t="s">
        <v>46</v>
      </c>
      <c r="H20" s="21" t="s">
        <v>47</v>
      </c>
      <c r="I20" s="21"/>
      <c r="J20" s="51" t="s">
        <v>11</v>
      </c>
      <c r="K20" s="45"/>
    </row>
    <row r="21" spans="1:11" s="38" customFormat="1" ht="13.5" customHeight="1">
      <c r="A21" s="62">
        <v>168543</v>
      </c>
      <c r="B21" s="20">
        <v>16435854</v>
      </c>
      <c r="C21" s="21" t="s">
        <v>8</v>
      </c>
      <c r="D21" s="21" t="s">
        <v>9</v>
      </c>
      <c r="E21" s="21" t="s">
        <v>13</v>
      </c>
      <c r="F21" s="22">
        <v>2520.9699999999998</v>
      </c>
      <c r="G21" s="21" t="s">
        <v>49</v>
      </c>
      <c r="H21" s="21" t="s">
        <v>43</v>
      </c>
      <c r="I21" s="21" t="s">
        <v>43</v>
      </c>
      <c r="J21" s="51" t="s">
        <v>11</v>
      </c>
      <c r="K21" s="45" t="s">
        <v>62</v>
      </c>
    </row>
    <row r="22" spans="1:11" ht="13.5" customHeight="1">
      <c r="A22" s="62">
        <v>168498</v>
      </c>
      <c r="B22" s="26">
        <v>16436134</v>
      </c>
      <c r="C22" s="27" t="s">
        <v>8</v>
      </c>
      <c r="D22" s="27" t="s">
        <v>9</v>
      </c>
      <c r="E22" s="27" t="s">
        <v>13</v>
      </c>
      <c r="F22" s="28">
        <v>2173.23</v>
      </c>
      <c r="G22" s="27" t="s">
        <v>48</v>
      </c>
      <c r="H22" s="27" t="s">
        <v>43</v>
      </c>
      <c r="I22" s="27" t="s">
        <v>38</v>
      </c>
      <c r="J22" s="53" t="s">
        <v>11</v>
      </c>
      <c r="K22" s="43" t="s">
        <v>79</v>
      </c>
    </row>
    <row r="23" spans="1:11" s="38" customFormat="1" ht="13.5" customHeight="1">
      <c r="A23" s="62">
        <v>168541</v>
      </c>
      <c r="B23" s="29">
        <v>16435800</v>
      </c>
      <c r="C23" s="30" t="s">
        <v>8</v>
      </c>
      <c r="D23" s="30" t="s">
        <v>9</v>
      </c>
      <c r="E23" s="30" t="s">
        <v>13</v>
      </c>
      <c r="F23" s="31">
        <v>1898.85</v>
      </c>
      <c r="G23" s="30" t="s">
        <v>46</v>
      </c>
      <c r="H23" s="15" t="s">
        <v>43</v>
      </c>
      <c r="I23" s="15" t="s">
        <v>43</v>
      </c>
      <c r="J23" s="49" t="s">
        <v>11</v>
      </c>
      <c r="K23" s="35"/>
    </row>
    <row r="24" spans="1:11" ht="13.5" customHeight="1">
      <c r="A24" s="60">
        <v>168494</v>
      </c>
      <c r="B24" s="17">
        <v>16435570</v>
      </c>
      <c r="C24" s="18" t="s">
        <v>8</v>
      </c>
      <c r="D24" s="18" t="s">
        <v>9</v>
      </c>
      <c r="E24" s="18" t="s">
        <v>13</v>
      </c>
      <c r="F24" s="19">
        <v>1245.1600000000001</v>
      </c>
      <c r="G24" s="18" t="s">
        <v>93</v>
      </c>
      <c r="H24" s="18" t="s">
        <v>39</v>
      </c>
      <c r="I24" s="18" t="s">
        <v>37</v>
      </c>
      <c r="J24" s="50" t="s">
        <v>11</v>
      </c>
      <c r="K24" s="39" t="s">
        <v>64</v>
      </c>
    </row>
    <row r="25" spans="1:11" ht="13.5" customHeight="1">
      <c r="A25" s="60">
        <v>168605</v>
      </c>
      <c r="B25" s="17">
        <v>16435921</v>
      </c>
      <c r="C25" s="18" t="s">
        <v>8</v>
      </c>
      <c r="D25" s="18" t="s">
        <v>9</v>
      </c>
      <c r="E25" s="18" t="s">
        <v>13</v>
      </c>
      <c r="F25" s="19">
        <v>1159.17</v>
      </c>
      <c r="G25" s="18" t="s">
        <v>89</v>
      </c>
      <c r="H25" s="18" t="s">
        <v>39</v>
      </c>
      <c r="I25" s="18" t="s">
        <v>37</v>
      </c>
      <c r="J25" s="50" t="s">
        <v>11</v>
      </c>
      <c r="K25" s="39" t="s">
        <v>65</v>
      </c>
    </row>
    <row r="26" spans="1:11" ht="13.5" customHeight="1">
      <c r="A26" s="62">
        <v>168520</v>
      </c>
      <c r="B26" s="26">
        <v>16435796</v>
      </c>
      <c r="C26" s="27" t="s">
        <v>8</v>
      </c>
      <c r="D26" s="27" t="s">
        <v>9</v>
      </c>
      <c r="E26" s="27" t="s">
        <v>13</v>
      </c>
      <c r="F26" s="28">
        <v>1109.7</v>
      </c>
      <c r="G26" s="27" t="s">
        <v>50</v>
      </c>
      <c r="H26" s="27" t="s">
        <v>43</v>
      </c>
      <c r="I26" s="27" t="s">
        <v>38</v>
      </c>
      <c r="J26" s="53" t="s">
        <v>11</v>
      </c>
      <c r="K26" s="43" t="s">
        <v>81</v>
      </c>
    </row>
    <row r="27" spans="1:11" ht="13.5" customHeight="1">
      <c r="A27" s="62">
        <v>168548</v>
      </c>
      <c r="B27" s="26">
        <v>16435968</v>
      </c>
      <c r="C27" s="27" t="s">
        <v>8</v>
      </c>
      <c r="D27" s="27" t="s">
        <v>9</v>
      </c>
      <c r="E27" s="27" t="s">
        <v>13</v>
      </c>
      <c r="F27" s="28">
        <v>989.87</v>
      </c>
      <c r="G27" s="27" t="s">
        <v>51</v>
      </c>
      <c r="H27" s="27" t="s">
        <v>43</v>
      </c>
      <c r="I27" s="27" t="s">
        <v>38</v>
      </c>
      <c r="J27" s="53" t="s">
        <v>11</v>
      </c>
      <c r="K27" s="43"/>
    </row>
    <row r="28" spans="1:11" s="38" customFormat="1" ht="13.5" customHeight="1">
      <c r="A28" s="62">
        <v>168550</v>
      </c>
      <c r="B28" s="29">
        <v>16436103</v>
      </c>
      <c r="C28" s="30" t="s">
        <v>8</v>
      </c>
      <c r="D28" s="30" t="s">
        <v>9</v>
      </c>
      <c r="E28" s="30" t="s">
        <v>13</v>
      </c>
      <c r="F28" s="31">
        <v>862.95</v>
      </c>
      <c r="G28" s="30" t="s">
        <v>52</v>
      </c>
      <c r="H28" s="15" t="s">
        <v>43</v>
      </c>
      <c r="I28" s="15" t="s">
        <v>43</v>
      </c>
      <c r="J28" s="49" t="s">
        <v>11</v>
      </c>
      <c r="K28" s="35"/>
    </row>
    <row r="29" spans="1:11" ht="13.5" customHeight="1">
      <c r="A29" s="60">
        <v>168554</v>
      </c>
      <c r="B29" s="17">
        <v>16436124</v>
      </c>
      <c r="C29" s="18" t="s">
        <v>8</v>
      </c>
      <c r="D29" s="18" t="s">
        <v>9</v>
      </c>
      <c r="E29" s="18" t="s">
        <v>13</v>
      </c>
      <c r="F29" s="19">
        <v>831.32</v>
      </c>
      <c r="G29" s="18" t="s">
        <v>44</v>
      </c>
      <c r="H29" s="18" t="s">
        <v>39</v>
      </c>
      <c r="I29" s="18" t="s">
        <v>37</v>
      </c>
      <c r="J29" s="50" t="s">
        <v>11</v>
      </c>
      <c r="K29" s="39" t="s">
        <v>66</v>
      </c>
    </row>
    <row r="30" spans="1:11" ht="13.5" customHeight="1">
      <c r="A30" s="62">
        <v>168505</v>
      </c>
      <c r="B30" s="26">
        <v>16435794</v>
      </c>
      <c r="C30" s="27" t="s">
        <v>8</v>
      </c>
      <c r="D30" s="27" t="s">
        <v>9</v>
      </c>
      <c r="E30" s="27" t="s">
        <v>13</v>
      </c>
      <c r="F30" s="28">
        <v>773.47</v>
      </c>
      <c r="G30" s="27" t="s">
        <v>53</v>
      </c>
      <c r="H30" s="27" t="s">
        <v>43</v>
      </c>
      <c r="I30" s="27" t="s">
        <v>38</v>
      </c>
      <c r="J30" s="53" t="s">
        <v>11</v>
      </c>
      <c r="K30" s="43"/>
    </row>
    <row r="31" spans="1:11" ht="13.5" customHeight="1">
      <c r="A31" s="60">
        <v>168590</v>
      </c>
      <c r="B31" s="17">
        <v>16436109</v>
      </c>
      <c r="C31" s="18" t="s">
        <v>8</v>
      </c>
      <c r="D31" s="18" t="s">
        <v>9</v>
      </c>
      <c r="E31" s="18" t="s">
        <v>13</v>
      </c>
      <c r="F31" s="19">
        <v>743.43</v>
      </c>
      <c r="G31" s="18" t="s">
        <v>90</v>
      </c>
      <c r="H31" s="18" t="s">
        <v>39</v>
      </c>
      <c r="I31" s="18" t="s">
        <v>37</v>
      </c>
      <c r="J31" s="50" t="s">
        <v>11</v>
      </c>
      <c r="K31" s="39" t="s">
        <v>67</v>
      </c>
    </row>
    <row r="32" spans="1:11" ht="13.5" customHeight="1">
      <c r="A32" s="60">
        <v>168606</v>
      </c>
      <c r="B32" s="17">
        <v>16436048</v>
      </c>
      <c r="C32" s="18" t="s">
        <v>8</v>
      </c>
      <c r="D32" s="18" t="s">
        <v>9</v>
      </c>
      <c r="E32" s="18" t="s">
        <v>13</v>
      </c>
      <c r="F32" s="19">
        <v>618.48</v>
      </c>
      <c r="G32" s="18" t="s">
        <v>91</v>
      </c>
      <c r="H32" s="18" t="s">
        <v>39</v>
      </c>
      <c r="I32" s="18" t="s">
        <v>37</v>
      </c>
      <c r="J32" s="50" t="s">
        <v>11</v>
      </c>
      <c r="K32" s="39" t="s">
        <v>68</v>
      </c>
    </row>
    <row r="33" spans="1:11" ht="13.5" customHeight="1">
      <c r="A33" s="62">
        <v>168552</v>
      </c>
      <c r="B33" s="26">
        <v>16436103</v>
      </c>
      <c r="C33" s="27" t="s">
        <v>8</v>
      </c>
      <c r="D33" s="27" t="s">
        <v>9</v>
      </c>
      <c r="E33" s="27" t="s">
        <v>13</v>
      </c>
      <c r="F33" s="28">
        <v>545.36</v>
      </c>
      <c r="G33" s="27" t="s">
        <v>54</v>
      </c>
      <c r="H33" s="27"/>
      <c r="I33" s="27" t="s">
        <v>38</v>
      </c>
      <c r="J33" s="53" t="s">
        <v>11</v>
      </c>
      <c r="K33" s="43" t="s">
        <v>79</v>
      </c>
    </row>
    <row r="34" spans="1:11" ht="13.5" customHeight="1">
      <c r="A34" s="60">
        <v>168601</v>
      </c>
      <c r="B34" s="17">
        <v>16436042</v>
      </c>
      <c r="C34" s="18" t="s">
        <v>8</v>
      </c>
      <c r="D34" s="18" t="s">
        <v>9</v>
      </c>
      <c r="E34" s="18" t="s">
        <v>13</v>
      </c>
      <c r="F34" s="19">
        <v>464.73</v>
      </c>
      <c r="G34" s="18" t="s">
        <v>92</v>
      </c>
      <c r="H34" s="18" t="s">
        <v>39</v>
      </c>
      <c r="I34" s="18" t="s">
        <v>37</v>
      </c>
      <c r="J34" s="50" t="s">
        <v>11</v>
      </c>
      <c r="K34" s="39" t="s">
        <v>69</v>
      </c>
    </row>
    <row r="35" spans="1:11" ht="13.5" customHeight="1">
      <c r="A35" s="60">
        <v>168597</v>
      </c>
      <c r="B35" s="17">
        <v>16436036</v>
      </c>
      <c r="C35" s="18" t="s">
        <v>8</v>
      </c>
      <c r="D35" s="18" t="s">
        <v>9</v>
      </c>
      <c r="E35" s="18" t="s">
        <v>13</v>
      </c>
      <c r="F35" s="19">
        <v>500.87</v>
      </c>
      <c r="G35" s="18" t="s">
        <v>96</v>
      </c>
      <c r="H35" s="18" t="s">
        <v>39</v>
      </c>
      <c r="I35" s="18" t="s">
        <v>37</v>
      </c>
      <c r="J35" s="50" t="s">
        <v>11</v>
      </c>
      <c r="K35" s="39" t="s">
        <v>70</v>
      </c>
    </row>
    <row r="36" spans="1:11" ht="13.5" customHeight="1">
      <c r="A36" s="60">
        <v>168607</v>
      </c>
      <c r="B36" s="17">
        <v>16436034</v>
      </c>
      <c r="C36" s="18" t="s">
        <v>8</v>
      </c>
      <c r="D36" s="18" t="s">
        <v>9</v>
      </c>
      <c r="E36" s="18" t="s">
        <v>13</v>
      </c>
      <c r="F36" s="19">
        <v>396.27</v>
      </c>
      <c r="G36" s="18" t="s">
        <v>44</v>
      </c>
      <c r="H36" s="18" t="s">
        <v>39</v>
      </c>
      <c r="I36" s="18" t="s">
        <v>37</v>
      </c>
      <c r="J36" s="50" t="s">
        <v>11</v>
      </c>
      <c r="K36" s="39" t="s">
        <v>71</v>
      </c>
    </row>
    <row r="37" spans="1:11" s="38" customFormat="1" ht="13.5" customHeight="1">
      <c r="A37" s="62">
        <v>168540</v>
      </c>
      <c r="B37" s="29">
        <v>16435841</v>
      </c>
      <c r="C37" s="30" t="s">
        <v>8</v>
      </c>
      <c r="D37" s="30" t="s">
        <v>9</v>
      </c>
      <c r="E37" s="30" t="s">
        <v>13</v>
      </c>
      <c r="F37" s="31">
        <v>340.06</v>
      </c>
      <c r="G37" s="30" t="s">
        <v>46</v>
      </c>
      <c r="H37" s="15" t="s">
        <v>43</v>
      </c>
      <c r="I37" s="15" t="s">
        <v>43</v>
      </c>
      <c r="J37" s="49" t="s">
        <v>11</v>
      </c>
      <c r="K37" s="35"/>
    </row>
    <row r="38" spans="1:11" ht="13.5" customHeight="1">
      <c r="A38" s="60">
        <v>168603</v>
      </c>
      <c r="B38" s="17">
        <v>16436065</v>
      </c>
      <c r="C38" s="18" t="s">
        <v>8</v>
      </c>
      <c r="D38" s="18" t="s">
        <v>9</v>
      </c>
      <c r="E38" s="18" t="s">
        <v>13</v>
      </c>
      <c r="F38" s="19">
        <v>356.25</v>
      </c>
      <c r="G38" s="18" t="s">
        <v>97</v>
      </c>
      <c r="H38" s="18" t="s">
        <v>39</v>
      </c>
      <c r="I38" s="32" t="s">
        <v>37</v>
      </c>
      <c r="J38" s="50" t="s">
        <v>11</v>
      </c>
      <c r="K38" s="39" t="s">
        <v>72</v>
      </c>
    </row>
    <row r="39" spans="1:11" ht="13.5" customHeight="1">
      <c r="A39" s="62">
        <v>168608</v>
      </c>
      <c r="B39" s="26">
        <v>16436116</v>
      </c>
      <c r="C39" s="27" t="s">
        <v>8</v>
      </c>
      <c r="D39" s="27" t="s">
        <v>9</v>
      </c>
      <c r="E39" s="27" t="s">
        <v>13</v>
      </c>
      <c r="F39" s="28">
        <v>405.62</v>
      </c>
      <c r="G39" s="27" t="s">
        <v>42</v>
      </c>
      <c r="H39" s="27" t="s">
        <v>43</v>
      </c>
      <c r="I39" s="27" t="s">
        <v>43</v>
      </c>
      <c r="J39" s="53" t="s">
        <v>11</v>
      </c>
      <c r="K39" s="43" t="s">
        <v>79</v>
      </c>
    </row>
    <row r="40" spans="1:11" s="44" customFormat="1" ht="13.5" customHeight="1">
      <c r="A40" s="65">
        <v>168548</v>
      </c>
      <c r="B40" s="55"/>
      <c r="C40" s="55" t="s">
        <v>82</v>
      </c>
      <c r="D40" s="55" t="s">
        <v>14</v>
      </c>
      <c r="E40" s="55" t="s">
        <v>13</v>
      </c>
      <c r="F40" s="56"/>
      <c r="G40" s="57" t="s">
        <v>84</v>
      </c>
      <c r="H40" s="57"/>
      <c r="I40" s="57" t="s">
        <v>38</v>
      </c>
      <c r="J40" s="58"/>
      <c r="K40" s="55"/>
    </row>
    <row r="41" spans="1:11" s="44" customFormat="1" ht="13.5" customHeight="1">
      <c r="A41" s="67">
        <v>168550</v>
      </c>
      <c r="B41" s="39"/>
      <c r="C41" s="39" t="s">
        <v>82</v>
      </c>
      <c r="D41" s="39" t="s">
        <v>14</v>
      </c>
      <c r="E41" s="39" t="s">
        <v>13</v>
      </c>
      <c r="F41" s="19"/>
      <c r="G41" s="18" t="s">
        <v>94</v>
      </c>
      <c r="H41" s="18"/>
      <c r="I41" s="18" t="s">
        <v>37</v>
      </c>
      <c r="J41" s="50"/>
      <c r="K41" s="39"/>
    </row>
    <row r="42" spans="1:11" s="44" customFormat="1" ht="13.5" customHeight="1">
      <c r="A42" s="67">
        <v>168552</v>
      </c>
      <c r="B42" s="39"/>
      <c r="C42" s="39" t="s">
        <v>82</v>
      </c>
      <c r="D42" s="39" t="s">
        <v>14</v>
      </c>
      <c r="E42" s="39" t="s">
        <v>13</v>
      </c>
      <c r="F42" s="19"/>
      <c r="G42" s="18" t="s">
        <v>95</v>
      </c>
      <c r="H42" s="18"/>
      <c r="I42" s="18" t="s">
        <v>37</v>
      </c>
      <c r="J42" s="50"/>
      <c r="K42" s="39"/>
    </row>
    <row r="43" spans="1:11" ht="13.5" customHeight="1">
      <c r="A43" s="60">
        <v>168576</v>
      </c>
      <c r="B43" s="17">
        <v>19383839</v>
      </c>
      <c r="C43" s="18" t="s">
        <v>8</v>
      </c>
      <c r="D43" s="18" t="s">
        <v>9</v>
      </c>
      <c r="E43" s="18" t="s">
        <v>14</v>
      </c>
      <c r="F43" s="19">
        <v>2313.81</v>
      </c>
      <c r="G43" s="18" t="s">
        <v>44</v>
      </c>
      <c r="H43" s="18" t="s">
        <v>39</v>
      </c>
      <c r="I43" s="18" t="s">
        <v>37</v>
      </c>
      <c r="J43" s="50" t="s">
        <v>11</v>
      </c>
      <c r="K43" s="39" t="s">
        <v>73</v>
      </c>
    </row>
    <row r="44" spans="1:11" ht="13.5" customHeight="1">
      <c r="A44" s="60">
        <v>168591</v>
      </c>
      <c r="B44" s="17">
        <v>19383840</v>
      </c>
      <c r="C44" s="18" t="s">
        <v>8</v>
      </c>
      <c r="D44" s="18" t="s">
        <v>9</v>
      </c>
      <c r="E44" s="18" t="s">
        <v>14</v>
      </c>
      <c r="F44" s="19">
        <v>1693.36</v>
      </c>
      <c r="G44" s="18" t="s">
        <v>44</v>
      </c>
      <c r="H44" s="18" t="s">
        <v>39</v>
      </c>
      <c r="I44" s="18" t="s">
        <v>37</v>
      </c>
      <c r="J44" s="50" t="s">
        <v>11</v>
      </c>
      <c r="K44" s="39" t="s">
        <v>74</v>
      </c>
    </row>
    <row r="45" spans="1:11" ht="13.5" customHeight="1">
      <c r="A45" s="60">
        <v>168571</v>
      </c>
      <c r="B45" s="17">
        <v>19383837</v>
      </c>
      <c r="C45" s="18" t="s">
        <v>8</v>
      </c>
      <c r="D45" s="18" t="s">
        <v>9</v>
      </c>
      <c r="E45" s="18" t="s">
        <v>14</v>
      </c>
      <c r="F45" s="19">
        <v>1650.4</v>
      </c>
      <c r="G45" s="18" t="s">
        <v>99</v>
      </c>
      <c r="H45" s="18" t="s">
        <v>39</v>
      </c>
      <c r="I45" s="18" t="s">
        <v>37</v>
      </c>
      <c r="J45" s="50" t="s">
        <v>11</v>
      </c>
      <c r="K45" s="39" t="s">
        <v>75</v>
      </c>
    </row>
    <row r="46" spans="1:11" ht="13.5" customHeight="1">
      <c r="A46" s="40">
        <v>168577</v>
      </c>
      <c r="B46" s="11">
        <v>19383843</v>
      </c>
      <c r="C46" s="12" t="s">
        <v>8</v>
      </c>
      <c r="D46" s="12" t="s">
        <v>9</v>
      </c>
      <c r="E46" s="12" t="s">
        <v>14</v>
      </c>
      <c r="F46" s="13">
        <v>1426.9</v>
      </c>
      <c r="G46" s="12" t="s">
        <v>55</v>
      </c>
      <c r="H46" s="12" t="s">
        <v>47</v>
      </c>
      <c r="I46" s="12" t="s">
        <v>37</v>
      </c>
      <c r="J46" s="48" t="s">
        <v>11</v>
      </c>
      <c r="K46" s="36"/>
    </row>
    <row r="47" spans="1:11" ht="13.5" customHeight="1">
      <c r="A47" s="40">
        <v>168578</v>
      </c>
      <c r="B47" s="11">
        <v>19383843</v>
      </c>
      <c r="C47" s="12" t="s">
        <v>8</v>
      </c>
      <c r="D47" s="12" t="s">
        <v>9</v>
      </c>
      <c r="E47" s="12" t="s">
        <v>14</v>
      </c>
      <c r="F47" s="13">
        <v>299.14999999999998</v>
      </c>
      <c r="G47" s="12" t="s">
        <v>55</v>
      </c>
      <c r="H47" s="12" t="s">
        <v>47</v>
      </c>
      <c r="I47" s="12" t="s">
        <v>37</v>
      </c>
      <c r="J47" s="48" t="s">
        <v>11</v>
      </c>
      <c r="K47" s="36"/>
    </row>
    <row r="48" spans="1:11" ht="13.5" customHeight="1">
      <c r="A48" s="40">
        <v>168579</v>
      </c>
      <c r="B48" s="11">
        <v>19383844</v>
      </c>
      <c r="C48" s="12" t="s">
        <v>8</v>
      </c>
      <c r="D48" s="12" t="s">
        <v>9</v>
      </c>
      <c r="E48" s="12" t="s">
        <v>14</v>
      </c>
      <c r="F48" s="13">
        <v>263.37</v>
      </c>
      <c r="G48" s="12" t="s">
        <v>55</v>
      </c>
      <c r="H48" s="12" t="s">
        <v>47</v>
      </c>
      <c r="I48" s="12" t="s">
        <v>37</v>
      </c>
      <c r="J48" s="48" t="s">
        <v>11</v>
      </c>
      <c r="K48" s="36"/>
    </row>
    <row r="49" spans="1:11" s="42" customFormat="1" ht="13.5" customHeight="1">
      <c r="A49" s="40"/>
      <c r="B49" s="11">
        <v>19384215</v>
      </c>
      <c r="C49" s="12" t="s">
        <v>8</v>
      </c>
      <c r="D49" s="12" t="s">
        <v>9</v>
      </c>
      <c r="E49" s="12" t="s">
        <v>14</v>
      </c>
      <c r="F49" s="13">
        <v>36866.120000000003</v>
      </c>
      <c r="G49" s="12" t="s">
        <v>55</v>
      </c>
      <c r="H49" s="12" t="s">
        <v>47</v>
      </c>
      <c r="I49" s="12" t="s">
        <v>37</v>
      </c>
      <c r="J49" s="48" t="s">
        <v>11</v>
      </c>
      <c r="K49" s="36" t="s">
        <v>59</v>
      </c>
    </row>
    <row r="50" spans="1:11" ht="13.5" customHeight="1">
      <c r="A50" s="40">
        <v>168589</v>
      </c>
      <c r="B50" s="11">
        <v>16707240</v>
      </c>
      <c r="C50" s="12" t="s">
        <v>8</v>
      </c>
      <c r="D50" s="12" t="s">
        <v>9</v>
      </c>
      <c r="E50" s="12" t="s">
        <v>15</v>
      </c>
      <c r="F50" s="13">
        <v>643.08000000000004</v>
      </c>
      <c r="G50" s="12" t="s">
        <v>56</v>
      </c>
      <c r="H50" s="12"/>
      <c r="I50" s="12" t="s">
        <v>38</v>
      </c>
      <c r="J50" s="48" t="s">
        <v>11</v>
      </c>
      <c r="K50" s="36"/>
    </row>
    <row r="51" spans="1:11" ht="13.5" customHeight="1">
      <c r="A51" s="40">
        <v>168313</v>
      </c>
      <c r="B51" s="11">
        <v>16707239</v>
      </c>
      <c r="C51" s="12" t="s">
        <v>8</v>
      </c>
      <c r="D51" s="12" t="s">
        <v>9</v>
      </c>
      <c r="E51" s="12" t="s">
        <v>15</v>
      </c>
      <c r="F51" s="13">
        <v>575.96</v>
      </c>
      <c r="G51" s="12" t="s">
        <v>56</v>
      </c>
      <c r="H51" s="12"/>
      <c r="I51" s="12" t="s">
        <v>38</v>
      </c>
      <c r="J51" s="48" t="s">
        <v>11</v>
      </c>
      <c r="K51" s="36"/>
    </row>
    <row r="52" spans="1:11" ht="13.5" customHeight="1">
      <c r="A52" s="40">
        <v>168604</v>
      </c>
      <c r="B52" s="11">
        <v>16707235</v>
      </c>
      <c r="C52" s="12" t="s">
        <v>8</v>
      </c>
      <c r="D52" s="12" t="s">
        <v>9</v>
      </c>
      <c r="E52" s="12" t="s">
        <v>15</v>
      </c>
      <c r="F52" s="13">
        <v>532.48</v>
      </c>
      <c r="G52" s="12" t="s">
        <v>56</v>
      </c>
      <c r="H52" s="12"/>
      <c r="I52" s="12" t="s">
        <v>38</v>
      </c>
      <c r="J52" s="48" t="s">
        <v>11</v>
      </c>
      <c r="K52" s="36"/>
    </row>
    <row r="53" spans="1:11" ht="13.5" customHeight="1">
      <c r="A53" s="40">
        <v>168598</v>
      </c>
      <c r="B53" s="11">
        <v>16707241</v>
      </c>
      <c r="C53" s="12" t="s">
        <v>8</v>
      </c>
      <c r="D53" s="12" t="s">
        <v>9</v>
      </c>
      <c r="E53" s="12" t="s">
        <v>15</v>
      </c>
      <c r="F53" s="13">
        <v>268.27</v>
      </c>
      <c r="G53" s="12" t="s">
        <v>56</v>
      </c>
      <c r="H53" s="12"/>
      <c r="I53" s="12" t="s">
        <v>38</v>
      </c>
      <c r="J53" s="48" t="s">
        <v>11</v>
      </c>
      <c r="K53" s="36"/>
    </row>
    <row r="54" spans="1:11" ht="13.5" customHeight="1">
      <c r="A54" s="40">
        <v>168310</v>
      </c>
      <c r="B54" s="11">
        <v>16707183</v>
      </c>
      <c r="C54" s="12" t="s">
        <v>8</v>
      </c>
      <c r="D54" s="12" t="s">
        <v>9</v>
      </c>
      <c r="E54" s="12" t="s">
        <v>15</v>
      </c>
      <c r="F54" s="13">
        <v>1971.3</v>
      </c>
      <c r="G54" s="12" t="s">
        <v>56</v>
      </c>
      <c r="H54" s="12"/>
      <c r="I54" s="12" t="s">
        <v>38</v>
      </c>
      <c r="J54" s="48" t="s">
        <v>11</v>
      </c>
      <c r="K54" s="36"/>
    </row>
    <row r="55" spans="1:11" customFormat="1" ht="13.5" hidden="1" customHeight="1">
      <c r="B55" s="7">
        <v>16965120</v>
      </c>
      <c r="C55" s="8" t="s">
        <v>8</v>
      </c>
      <c r="D55" s="8" t="s">
        <v>9</v>
      </c>
      <c r="E55" s="8" t="s">
        <v>12</v>
      </c>
      <c r="F55" s="9">
        <v>5413.91</v>
      </c>
      <c r="G55" s="8" t="s">
        <v>17</v>
      </c>
      <c r="H55" s="8"/>
      <c r="I55" s="8"/>
      <c r="J55" s="8" t="s">
        <v>18</v>
      </c>
    </row>
    <row r="56" spans="1:11" customFormat="1" ht="13.5" hidden="1" customHeight="1">
      <c r="B56" s="2">
        <v>16435986</v>
      </c>
      <c r="C56" s="1" t="s">
        <v>8</v>
      </c>
      <c r="D56" s="1" t="s">
        <v>9</v>
      </c>
      <c r="E56" s="1" t="s">
        <v>13</v>
      </c>
      <c r="F56" s="3">
        <v>4652.3599999999997</v>
      </c>
      <c r="G56" s="1" t="s">
        <v>19</v>
      </c>
      <c r="H56" s="1"/>
      <c r="I56" s="1"/>
      <c r="J56" s="1" t="s">
        <v>18</v>
      </c>
    </row>
    <row r="57" spans="1:11" customFormat="1" ht="13.5" hidden="1" customHeight="1">
      <c r="B57" s="2">
        <v>16435987</v>
      </c>
      <c r="C57" s="1" t="s">
        <v>8</v>
      </c>
      <c r="D57" s="1" t="s">
        <v>9</v>
      </c>
      <c r="E57" s="1" t="s">
        <v>13</v>
      </c>
      <c r="F57" s="3">
        <v>4554.16</v>
      </c>
      <c r="G57" s="1" t="s">
        <v>19</v>
      </c>
      <c r="H57" s="1"/>
      <c r="I57" s="1"/>
      <c r="J57" s="1" t="s">
        <v>18</v>
      </c>
    </row>
    <row r="58" spans="1:11" customFormat="1" ht="13.5" hidden="1" customHeight="1">
      <c r="B58" s="2">
        <v>16435988</v>
      </c>
      <c r="C58" s="1" t="s">
        <v>8</v>
      </c>
      <c r="D58" s="1" t="s">
        <v>9</v>
      </c>
      <c r="E58" s="1" t="s">
        <v>13</v>
      </c>
      <c r="F58" s="3">
        <v>2837.95</v>
      </c>
      <c r="G58" s="1" t="s">
        <v>19</v>
      </c>
      <c r="H58" s="1"/>
      <c r="I58" s="1"/>
      <c r="J58" s="1" t="s">
        <v>18</v>
      </c>
    </row>
    <row r="59" spans="1:11" customFormat="1" ht="13.5" hidden="1" customHeight="1">
      <c r="B59" s="2">
        <v>19384175</v>
      </c>
      <c r="C59" s="1" t="s">
        <v>8</v>
      </c>
      <c r="D59" s="1" t="s">
        <v>9</v>
      </c>
      <c r="E59" s="1" t="s">
        <v>14</v>
      </c>
      <c r="F59" s="3">
        <v>3337.7</v>
      </c>
      <c r="G59" s="1" t="s">
        <v>20</v>
      </c>
      <c r="H59" s="1"/>
      <c r="I59" s="1"/>
      <c r="J59" s="1" t="s">
        <v>18</v>
      </c>
    </row>
    <row r="60" spans="1:11" customFormat="1" ht="13.5" hidden="1" customHeight="1">
      <c r="B60" s="2">
        <v>19384188</v>
      </c>
      <c r="C60" s="1" t="s">
        <v>8</v>
      </c>
      <c r="D60" s="1" t="s">
        <v>9</v>
      </c>
      <c r="E60" s="1" t="s">
        <v>14</v>
      </c>
      <c r="F60" s="3">
        <v>33251.519999999997</v>
      </c>
      <c r="G60" s="1" t="s">
        <v>19</v>
      </c>
      <c r="H60" s="1"/>
      <c r="I60" s="1"/>
      <c r="J60" s="1" t="s">
        <v>18</v>
      </c>
    </row>
    <row r="61" spans="1:11" customFormat="1" ht="13.5" hidden="1" customHeight="1">
      <c r="B61" s="2">
        <v>19384202</v>
      </c>
      <c r="C61" s="1" t="s">
        <v>8</v>
      </c>
      <c r="D61" s="1" t="s">
        <v>9</v>
      </c>
      <c r="E61" s="1" t="s">
        <v>14</v>
      </c>
      <c r="F61" s="3">
        <v>3567.47</v>
      </c>
      <c r="G61" s="1" t="s">
        <v>19</v>
      </c>
      <c r="H61" s="1"/>
      <c r="I61" s="1"/>
      <c r="J61" s="1" t="s">
        <v>18</v>
      </c>
    </row>
    <row r="62" spans="1:11" customFormat="1" ht="13.5" hidden="1" customHeight="1">
      <c r="B62" s="2">
        <v>19384216</v>
      </c>
      <c r="C62" s="1" t="s">
        <v>8</v>
      </c>
      <c r="D62" s="1" t="s">
        <v>9</v>
      </c>
      <c r="E62" s="1" t="s">
        <v>14</v>
      </c>
      <c r="F62" s="3">
        <v>4075.81</v>
      </c>
      <c r="G62" s="1" t="s">
        <v>16</v>
      </c>
      <c r="H62" s="1"/>
      <c r="I62" s="1"/>
      <c r="J62" s="1" t="s">
        <v>18</v>
      </c>
    </row>
    <row r="63" spans="1:11" customFormat="1" ht="13.5" hidden="1" customHeight="1">
      <c r="B63" s="2">
        <v>19384218</v>
      </c>
      <c r="C63" s="1" t="s">
        <v>8</v>
      </c>
      <c r="D63" s="1" t="s">
        <v>9</v>
      </c>
      <c r="E63" s="1" t="s">
        <v>14</v>
      </c>
      <c r="F63" s="3">
        <v>3744.72</v>
      </c>
      <c r="G63" s="1" t="s">
        <v>21</v>
      </c>
      <c r="H63" s="1"/>
      <c r="I63" s="1"/>
      <c r="J63" s="1" t="s">
        <v>18</v>
      </c>
    </row>
    <row r="64" spans="1:11" customFormat="1" ht="13.5" hidden="1" customHeight="1">
      <c r="B64" s="2">
        <v>19384219</v>
      </c>
      <c r="C64" s="1" t="s">
        <v>8</v>
      </c>
      <c r="D64" s="1" t="s">
        <v>9</v>
      </c>
      <c r="E64" s="1" t="s">
        <v>14</v>
      </c>
      <c r="F64" s="3">
        <v>7655.01</v>
      </c>
      <c r="G64" s="1" t="s">
        <v>21</v>
      </c>
      <c r="H64" s="1"/>
      <c r="I64" s="1"/>
      <c r="J64" s="1" t="s">
        <v>18</v>
      </c>
    </row>
    <row r="65" spans="2:10" customFormat="1" ht="13.5" hidden="1" customHeight="1">
      <c r="B65" s="2">
        <v>16707136</v>
      </c>
      <c r="C65" s="1" t="s">
        <v>8</v>
      </c>
      <c r="D65" s="1" t="s">
        <v>9</v>
      </c>
      <c r="E65" s="1" t="s">
        <v>15</v>
      </c>
      <c r="F65" s="3">
        <v>2075.1999999999998</v>
      </c>
      <c r="G65" s="1" t="s">
        <v>19</v>
      </c>
      <c r="H65" s="1"/>
      <c r="I65" s="1"/>
      <c r="J65" s="1" t="s">
        <v>18</v>
      </c>
    </row>
    <row r="66" spans="2:10" customFormat="1" ht="13.5" hidden="1" customHeight="1">
      <c r="B66" s="2">
        <v>16707253</v>
      </c>
      <c r="C66" s="1" t="s">
        <v>8</v>
      </c>
      <c r="D66" s="1" t="s">
        <v>9</v>
      </c>
      <c r="E66" s="1" t="s">
        <v>15</v>
      </c>
      <c r="F66" s="3">
        <v>1542.48</v>
      </c>
      <c r="G66" s="1" t="s">
        <v>19</v>
      </c>
      <c r="H66" s="1"/>
      <c r="I66" s="1"/>
      <c r="J66" s="1" t="s">
        <v>18</v>
      </c>
    </row>
    <row r="67" spans="2:10" customFormat="1" ht="13.5" hidden="1" customHeight="1">
      <c r="B67" s="2">
        <v>19384176</v>
      </c>
      <c r="C67" s="1" t="s">
        <v>8</v>
      </c>
      <c r="D67" s="1" t="s">
        <v>9</v>
      </c>
      <c r="E67" s="1" t="s">
        <v>14</v>
      </c>
      <c r="F67" s="3">
        <v>3078.64</v>
      </c>
      <c r="G67" s="1" t="s">
        <v>20</v>
      </c>
      <c r="H67" s="1"/>
      <c r="I67" s="1"/>
      <c r="J67" s="1" t="s">
        <v>18</v>
      </c>
    </row>
    <row r="68" spans="2:10" customFormat="1" ht="13.5" hidden="1" customHeight="1">
      <c r="B68" s="2">
        <v>16707154</v>
      </c>
      <c r="C68" s="1" t="s">
        <v>8</v>
      </c>
      <c r="D68" s="1" t="s">
        <v>9</v>
      </c>
      <c r="E68" s="1" t="s">
        <v>15</v>
      </c>
      <c r="F68" s="3">
        <v>2816.41</v>
      </c>
      <c r="G68" s="1" t="s">
        <v>19</v>
      </c>
      <c r="H68" s="1"/>
      <c r="I68" s="1"/>
      <c r="J68" s="1" t="s">
        <v>18</v>
      </c>
    </row>
    <row r="69" spans="2:10" customFormat="1" ht="13.5" hidden="1" customHeight="1">
      <c r="B69" s="2">
        <v>13649929</v>
      </c>
      <c r="C69" s="1" t="s">
        <v>8</v>
      </c>
      <c r="D69" s="1" t="s">
        <v>9</v>
      </c>
      <c r="E69" s="1" t="s">
        <v>22</v>
      </c>
      <c r="F69" s="3">
        <v>3421.87</v>
      </c>
      <c r="G69" s="1" t="s">
        <v>16</v>
      </c>
      <c r="H69" s="1"/>
      <c r="I69" s="1"/>
      <c r="J69" s="1" t="s">
        <v>23</v>
      </c>
    </row>
    <row r="70" spans="2:10" customFormat="1" ht="13.5" hidden="1" customHeight="1">
      <c r="B70" s="2">
        <v>13649930</v>
      </c>
      <c r="C70" s="1" t="s">
        <v>8</v>
      </c>
      <c r="D70" s="1" t="s">
        <v>9</v>
      </c>
      <c r="E70" s="1" t="s">
        <v>22</v>
      </c>
      <c r="F70" s="3">
        <v>2996.66</v>
      </c>
      <c r="G70" s="1" t="s">
        <v>16</v>
      </c>
      <c r="H70" s="1"/>
      <c r="I70" s="1"/>
      <c r="J70" s="1" t="s">
        <v>23</v>
      </c>
    </row>
    <row r="71" spans="2:10" customFormat="1" ht="13.5" hidden="1" customHeight="1">
      <c r="B71" s="2">
        <v>13649931</v>
      </c>
      <c r="C71" s="1" t="s">
        <v>8</v>
      </c>
      <c r="D71" s="1" t="s">
        <v>9</v>
      </c>
      <c r="E71" s="1" t="s">
        <v>22</v>
      </c>
      <c r="F71" s="3">
        <v>9649.2199999999993</v>
      </c>
      <c r="G71" s="1" t="s">
        <v>16</v>
      </c>
      <c r="H71" s="1"/>
      <c r="I71" s="1"/>
      <c r="J71" s="1" t="s">
        <v>23</v>
      </c>
    </row>
    <row r="72" spans="2:10" customFormat="1" ht="13.5" hidden="1" customHeight="1">
      <c r="B72" s="2">
        <v>13649932</v>
      </c>
      <c r="C72" s="1" t="s">
        <v>8</v>
      </c>
      <c r="D72" s="1" t="s">
        <v>9</v>
      </c>
      <c r="E72" s="1" t="s">
        <v>22</v>
      </c>
      <c r="F72" s="3">
        <v>1679.12</v>
      </c>
      <c r="G72" s="1" t="s">
        <v>16</v>
      </c>
      <c r="H72" s="1"/>
      <c r="I72" s="1"/>
      <c r="J72" s="1" t="s">
        <v>23</v>
      </c>
    </row>
    <row r="73" spans="2:10" customFormat="1" ht="13.5" hidden="1" customHeight="1">
      <c r="B73" s="2">
        <v>13649941</v>
      </c>
      <c r="C73" s="1" t="s">
        <v>8</v>
      </c>
      <c r="D73" s="1" t="s">
        <v>9</v>
      </c>
      <c r="E73" s="1" t="s">
        <v>22</v>
      </c>
      <c r="F73" s="3">
        <v>2922.15</v>
      </c>
      <c r="G73" s="1" t="s">
        <v>20</v>
      </c>
      <c r="H73" s="1"/>
      <c r="I73" s="1"/>
      <c r="J73" s="1" t="s">
        <v>23</v>
      </c>
    </row>
    <row r="74" spans="2:10" customFormat="1" ht="13.5" hidden="1" customHeight="1">
      <c r="B74" s="2">
        <v>12529024</v>
      </c>
      <c r="C74" s="1" t="s">
        <v>8</v>
      </c>
      <c r="D74" s="1" t="s">
        <v>9</v>
      </c>
      <c r="E74" s="1" t="s">
        <v>24</v>
      </c>
      <c r="F74" s="3">
        <v>2720.04</v>
      </c>
      <c r="G74" s="1" t="s">
        <v>25</v>
      </c>
      <c r="H74" s="1"/>
      <c r="I74" s="1"/>
      <c r="J74" s="1" t="s">
        <v>23</v>
      </c>
    </row>
    <row r="75" spans="2:10" customFormat="1" ht="13.5" hidden="1" customHeight="1">
      <c r="B75" s="2">
        <v>12529030</v>
      </c>
      <c r="C75" s="1" t="s">
        <v>8</v>
      </c>
      <c r="D75" s="1" t="s">
        <v>9</v>
      </c>
      <c r="E75" s="1" t="s">
        <v>24</v>
      </c>
      <c r="F75" s="3">
        <v>3154.2</v>
      </c>
      <c r="G75" s="1" t="s">
        <v>25</v>
      </c>
      <c r="H75" s="1"/>
      <c r="I75" s="1"/>
      <c r="J75" s="1" t="s">
        <v>23</v>
      </c>
    </row>
    <row r="76" spans="2:10" customFormat="1" ht="13.5" hidden="1" customHeight="1">
      <c r="B76" s="2">
        <v>12529034</v>
      </c>
      <c r="C76" s="1" t="s">
        <v>8</v>
      </c>
      <c r="D76" s="1" t="s">
        <v>9</v>
      </c>
      <c r="E76" s="1" t="s">
        <v>24</v>
      </c>
      <c r="F76" s="3">
        <v>8127.11</v>
      </c>
      <c r="G76" s="1" t="s">
        <v>25</v>
      </c>
      <c r="H76" s="1"/>
      <c r="I76" s="1"/>
      <c r="J76" s="1" t="s">
        <v>23</v>
      </c>
    </row>
    <row r="77" spans="2:10" customFormat="1" ht="13.5" hidden="1" customHeight="1">
      <c r="B77" s="2">
        <v>12529035</v>
      </c>
      <c r="C77" s="1" t="s">
        <v>8</v>
      </c>
      <c r="D77" s="1" t="s">
        <v>9</v>
      </c>
      <c r="E77" s="1" t="s">
        <v>24</v>
      </c>
      <c r="F77" s="3">
        <v>4116.58</v>
      </c>
      <c r="G77" s="1" t="s">
        <v>25</v>
      </c>
      <c r="H77" s="1"/>
      <c r="I77" s="1"/>
      <c r="J77" s="1" t="s">
        <v>23</v>
      </c>
    </row>
    <row r="78" spans="2:10" customFormat="1" ht="13.5" hidden="1" customHeight="1">
      <c r="B78" s="2">
        <v>12529036</v>
      </c>
      <c r="C78" s="1" t="s">
        <v>8</v>
      </c>
      <c r="D78" s="1" t="s">
        <v>9</v>
      </c>
      <c r="E78" s="1" t="s">
        <v>24</v>
      </c>
      <c r="F78" s="3">
        <v>402.15</v>
      </c>
      <c r="G78" s="1" t="s">
        <v>25</v>
      </c>
      <c r="H78" s="1"/>
      <c r="I78" s="1"/>
      <c r="J78" s="1" t="s">
        <v>23</v>
      </c>
    </row>
    <row r="79" spans="2:10" customFormat="1" ht="13.5" hidden="1" customHeight="1">
      <c r="B79" s="2">
        <v>12529038</v>
      </c>
      <c r="C79" s="1" t="s">
        <v>8</v>
      </c>
      <c r="D79" s="1" t="s">
        <v>9</v>
      </c>
      <c r="E79" s="1" t="s">
        <v>24</v>
      </c>
      <c r="F79" s="3">
        <v>7165.62</v>
      </c>
      <c r="G79" s="1" t="s">
        <v>25</v>
      </c>
      <c r="H79" s="1"/>
      <c r="I79" s="1"/>
      <c r="J79" s="1" t="s">
        <v>23</v>
      </c>
    </row>
    <row r="80" spans="2:10" customFormat="1" ht="13.5" hidden="1" customHeight="1">
      <c r="B80" s="2">
        <v>12529044</v>
      </c>
      <c r="C80" s="1" t="s">
        <v>8</v>
      </c>
      <c r="D80" s="1" t="s">
        <v>9</v>
      </c>
      <c r="E80" s="1" t="s">
        <v>24</v>
      </c>
      <c r="F80" s="3">
        <v>304.67</v>
      </c>
      <c r="G80" s="1" t="s">
        <v>25</v>
      </c>
      <c r="H80" s="1"/>
      <c r="I80" s="1"/>
      <c r="J80" s="1" t="s">
        <v>23</v>
      </c>
    </row>
    <row r="81" spans="2:10" customFormat="1" ht="13.5" hidden="1" customHeight="1">
      <c r="B81" s="2">
        <v>12529045</v>
      </c>
      <c r="C81" s="1" t="s">
        <v>8</v>
      </c>
      <c r="D81" s="1" t="s">
        <v>9</v>
      </c>
      <c r="E81" s="1" t="s">
        <v>24</v>
      </c>
      <c r="F81" s="3">
        <v>1293.25</v>
      </c>
      <c r="G81" s="1" t="s">
        <v>25</v>
      </c>
      <c r="H81" s="1"/>
      <c r="I81" s="1"/>
      <c r="J81" s="1" t="s">
        <v>23</v>
      </c>
    </row>
    <row r="82" spans="2:10" customFormat="1" ht="13.5" hidden="1" customHeight="1">
      <c r="B82" s="2">
        <v>12529048</v>
      </c>
      <c r="C82" s="1" t="s">
        <v>8</v>
      </c>
      <c r="D82" s="1" t="s">
        <v>9</v>
      </c>
      <c r="E82" s="1" t="s">
        <v>24</v>
      </c>
      <c r="F82" s="3">
        <v>7020.85</v>
      </c>
      <c r="G82" s="1" t="s">
        <v>25</v>
      </c>
      <c r="H82" s="1"/>
      <c r="I82" s="1"/>
      <c r="J82" s="1" t="s">
        <v>23</v>
      </c>
    </row>
    <row r="83" spans="2:10" customFormat="1" ht="13.5" hidden="1" customHeight="1">
      <c r="B83" s="2">
        <v>12529056</v>
      </c>
      <c r="C83" s="1" t="s">
        <v>8</v>
      </c>
      <c r="D83" s="1" t="s">
        <v>9</v>
      </c>
      <c r="E83" s="1" t="s">
        <v>24</v>
      </c>
      <c r="F83" s="3">
        <v>963.86</v>
      </c>
      <c r="G83" s="1" t="s">
        <v>25</v>
      </c>
      <c r="H83" s="1"/>
      <c r="I83" s="1"/>
      <c r="J83" s="1" t="s">
        <v>23</v>
      </c>
    </row>
    <row r="84" spans="2:10" customFormat="1" ht="13.5" hidden="1" customHeight="1">
      <c r="B84" s="2">
        <v>12529058</v>
      </c>
      <c r="C84" s="1" t="s">
        <v>8</v>
      </c>
      <c r="D84" s="1" t="s">
        <v>9</v>
      </c>
      <c r="E84" s="1" t="s">
        <v>24</v>
      </c>
      <c r="F84" s="3">
        <v>1686.16</v>
      </c>
      <c r="G84" s="1" t="s">
        <v>25</v>
      </c>
      <c r="H84" s="1"/>
      <c r="I84" s="1"/>
      <c r="J84" s="1" t="s">
        <v>23</v>
      </c>
    </row>
    <row r="85" spans="2:10" customFormat="1" ht="13.5" hidden="1" customHeight="1">
      <c r="B85" s="2">
        <v>12529059</v>
      </c>
      <c r="C85" s="1" t="s">
        <v>8</v>
      </c>
      <c r="D85" s="1" t="s">
        <v>9</v>
      </c>
      <c r="E85" s="1" t="s">
        <v>24</v>
      </c>
      <c r="F85" s="3">
        <v>13821.91</v>
      </c>
      <c r="G85" s="1" t="s">
        <v>25</v>
      </c>
      <c r="H85" s="1"/>
      <c r="I85" s="1"/>
      <c r="J85" s="1" t="s">
        <v>23</v>
      </c>
    </row>
    <row r="86" spans="2:10" customFormat="1" ht="13.5" hidden="1" customHeight="1">
      <c r="B86" s="2">
        <v>12529061</v>
      </c>
      <c r="C86" s="1" t="s">
        <v>8</v>
      </c>
      <c r="D86" s="1" t="s">
        <v>9</v>
      </c>
      <c r="E86" s="1" t="s">
        <v>24</v>
      </c>
      <c r="F86" s="3">
        <v>15646.32</v>
      </c>
      <c r="G86" s="1" t="s">
        <v>25</v>
      </c>
      <c r="H86" s="1"/>
      <c r="I86" s="1"/>
      <c r="J86" s="1" t="s">
        <v>23</v>
      </c>
    </row>
    <row r="87" spans="2:10" customFormat="1" ht="13.5" hidden="1" customHeight="1">
      <c r="B87" s="2">
        <v>12529063</v>
      </c>
      <c r="C87" s="1" t="s">
        <v>8</v>
      </c>
      <c r="D87" s="1" t="s">
        <v>9</v>
      </c>
      <c r="E87" s="1" t="s">
        <v>24</v>
      </c>
      <c r="F87" s="3">
        <v>3409.46</v>
      </c>
      <c r="G87" s="1" t="s">
        <v>25</v>
      </c>
      <c r="H87" s="1"/>
      <c r="I87" s="1"/>
      <c r="J87" s="1" t="s">
        <v>23</v>
      </c>
    </row>
    <row r="88" spans="2:10" customFormat="1" ht="13.5" hidden="1" customHeight="1">
      <c r="B88" s="2">
        <v>12529064</v>
      </c>
      <c r="C88" s="1" t="s">
        <v>8</v>
      </c>
      <c r="D88" s="1" t="s">
        <v>9</v>
      </c>
      <c r="E88" s="1" t="s">
        <v>24</v>
      </c>
      <c r="F88" s="3">
        <v>592.86</v>
      </c>
      <c r="G88" s="1" t="s">
        <v>25</v>
      </c>
      <c r="H88" s="1"/>
      <c r="I88" s="1"/>
      <c r="J88" s="1" t="s">
        <v>23</v>
      </c>
    </row>
    <row r="89" spans="2:10" customFormat="1" ht="13.5" hidden="1" customHeight="1">
      <c r="B89" s="2">
        <v>12529065</v>
      </c>
      <c r="C89" s="1" t="s">
        <v>8</v>
      </c>
      <c r="D89" s="1" t="s">
        <v>9</v>
      </c>
      <c r="E89" s="1" t="s">
        <v>24</v>
      </c>
      <c r="F89" s="3">
        <v>2966.59</v>
      </c>
      <c r="G89" s="1" t="s">
        <v>25</v>
      </c>
      <c r="H89" s="1"/>
      <c r="I89" s="1"/>
      <c r="J89" s="1" t="s">
        <v>23</v>
      </c>
    </row>
    <row r="90" spans="2:10" customFormat="1" ht="13.5" hidden="1" customHeight="1">
      <c r="B90" s="2">
        <v>12529067</v>
      </c>
      <c r="C90" s="1" t="s">
        <v>8</v>
      </c>
      <c r="D90" s="1" t="s">
        <v>9</v>
      </c>
      <c r="E90" s="1" t="s">
        <v>24</v>
      </c>
      <c r="F90" s="3">
        <v>2897.2</v>
      </c>
      <c r="G90" s="1" t="s">
        <v>25</v>
      </c>
      <c r="H90" s="1"/>
      <c r="I90" s="1"/>
      <c r="J90" s="1" t="s">
        <v>23</v>
      </c>
    </row>
    <row r="91" spans="2:10" customFormat="1" ht="13.5" hidden="1" customHeight="1">
      <c r="B91" s="2">
        <v>12529068</v>
      </c>
      <c r="C91" s="1" t="s">
        <v>8</v>
      </c>
      <c r="D91" s="1" t="s">
        <v>9</v>
      </c>
      <c r="E91" s="1" t="s">
        <v>24</v>
      </c>
      <c r="F91" s="3">
        <v>3347.87</v>
      </c>
      <c r="G91" s="1" t="s">
        <v>25</v>
      </c>
      <c r="H91" s="1"/>
      <c r="I91" s="1"/>
      <c r="J91" s="1" t="s">
        <v>23</v>
      </c>
    </row>
    <row r="92" spans="2:10" customFormat="1" ht="13.5" hidden="1" customHeight="1">
      <c r="B92" s="2">
        <v>12665068</v>
      </c>
      <c r="C92" s="1" t="s">
        <v>8</v>
      </c>
      <c r="D92" s="1" t="s">
        <v>9</v>
      </c>
      <c r="E92" s="1" t="s">
        <v>26</v>
      </c>
      <c r="F92" s="3">
        <v>731.63</v>
      </c>
      <c r="G92" s="1" t="s">
        <v>25</v>
      </c>
      <c r="H92" s="1"/>
      <c r="I92" s="1"/>
      <c r="J92" s="1" t="s">
        <v>23</v>
      </c>
    </row>
    <row r="93" spans="2:10" customFormat="1" ht="13.5" hidden="1" customHeight="1">
      <c r="B93" s="2">
        <v>12665069</v>
      </c>
      <c r="C93" s="1" t="s">
        <v>8</v>
      </c>
      <c r="D93" s="1" t="s">
        <v>9</v>
      </c>
      <c r="E93" s="1" t="s">
        <v>26</v>
      </c>
      <c r="F93" s="3">
        <v>670.06</v>
      </c>
      <c r="G93" s="1" t="s">
        <v>25</v>
      </c>
      <c r="H93" s="1"/>
      <c r="I93" s="1"/>
      <c r="J93" s="1" t="s">
        <v>23</v>
      </c>
    </row>
    <row r="94" spans="2:10" customFormat="1" ht="13.5" hidden="1" customHeight="1">
      <c r="B94" s="2">
        <v>12665070</v>
      </c>
      <c r="C94" s="1" t="s">
        <v>8</v>
      </c>
      <c r="D94" s="1" t="s">
        <v>9</v>
      </c>
      <c r="E94" s="1" t="s">
        <v>26</v>
      </c>
      <c r="F94" s="3">
        <v>735.47</v>
      </c>
      <c r="G94" s="1" t="s">
        <v>25</v>
      </c>
      <c r="H94" s="1"/>
      <c r="I94" s="1"/>
      <c r="J94" s="1" t="s">
        <v>23</v>
      </c>
    </row>
    <row r="95" spans="2:10" customFormat="1" ht="13.5" hidden="1" customHeight="1">
      <c r="B95" s="2">
        <v>12665072</v>
      </c>
      <c r="C95" s="1" t="s">
        <v>8</v>
      </c>
      <c r="D95" s="1" t="s">
        <v>9</v>
      </c>
      <c r="E95" s="1" t="s">
        <v>26</v>
      </c>
      <c r="F95" s="3">
        <v>651.79999999999995</v>
      </c>
      <c r="G95" s="1" t="s">
        <v>25</v>
      </c>
      <c r="H95" s="1"/>
      <c r="I95" s="1"/>
      <c r="J95" s="1" t="s">
        <v>23</v>
      </c>
    </row>
    <row r="96" spans="2:10" customFormat="1" ht="13.5" hidden="1" customHeight="1">
      <c r="B96" s="2">
        <v>12664980</v>
      </c>
      <c r="C96" s="1" t="s">
        <v>8</v>
      </c>
      <c r="D96" s="1" t="s">
        <v>9</v>
      </c>
      <c r="E96" s="1" t="s">
        <v>26</v>
      </c>
      <c r="F96" s="3">
        <v>872.72</v>
      </c>
      <c r="G96" s="1" t="s">
        <v>25</v>
      </c>
      <c r="H96" s="1"/>
      <c r="I96" s="1"/>
      <c r="J96" s="1" t="s">
        <v>23</v>
      </c>
    </row>
    <row r="97" spans="2:10" customFormat="1" ht="13.5" hidden="1" customHeight="1">
      <c r="B97" s="2">
        <v>12665086</v>
      </c>
      <c r="C97" s="1" t="s">
        <v>8</v>
      </c>
      <c r="D97" s="1" t="s">
        <v>9</v>
      </c>
      <c r="E97" s="1" t="s">
        <v>26</v>
      </c>
      <c r="F97" s="3">
        <v>1418.77</v>
      </c>
      <c r="G97" s="1" t="s">
        <v>21</v>
      </c>
      <c r="H97" s="1"/>
      <c r="I97" s="1"/>
      <c r="J97" s="1" t="s">
        <v>23</v>
      </c>
    </row>
    <row r="98" spans="2:10" customFormat="1" ht="13.5" hidden="1" customHeight="1">
      <c r="B98" s="2">
        <v>12665106</v>
      </c>
      <c r="C98" s="1" t="s">
        <v>8</v>
      </c>
      <c r="D98" s="1" t="s">
        <v>9</v>
      </c>
      <c r="E98" s="1" t="s">
        <v>26</v>
      </c>
      <c r="F98" s="3">
        <v>372.38</v>
      </c>
      <c r="G98" s="1" t="s">
        <v>25</v>
      </c>
      <c r="H98" s="1"/>
      <c r="I98" s="1"/>
      <c r="J98" s="1" t="s">
        <v>23</v>
      </c>
    </row>
    <row r="99" spans="2:10" customFormat="1" ht="13.5" hidden="1" customHeight="1">
      <c r="B99" s="2">
        <v>12665107</v>
      </c>
      <c r="C99" s="1" t="s">
        <v>8</v>
      </c>
      <c r="D99" s="1" t="s">
        <v>9</v>
      </c>
      <c r="E99" s="1" t="s">
        <v>26</v>
      </c>
      <c r="F99" s="3">
        <v>59875.13</v>
      </c>
      <c r="G99" s="1" t="s">
        <v>25</v>
      </c>
      <c r="H99" s="1"/>
      <c r="I99" s="1"/>
      <c r="J99" s="1" t="s">
        <v>23</v>
      </c>
    </row>
    <row r="100" spans="2:10" customFormat="1" ht="13.5" hidden="1" customHeight="1">
      <c r="B100" s="2">
        <v>12665108</v>
      </c>
      <c r="C100" s="1" t="s">
        <v>8</v>
      </c>
      <c r="D100" s="1" t="s">
        <v>9</v>
      </c>
      <c r="E100" s="1" t="s">
        <v>26</v>
      </c>
      <c r="F100" s="3">
        <v>18457.25</v>
      </c>
      <c r="G100" s="1" t="s">
        <v>25</v>
      </c>
      <c r="H100" s="1"/>
      <c r="I100" s="1"/>
      <c r="J100" s="1" t="s">
        <v>23</v>
      </c>
    </row>
    <row r="101" spans="2:10" customFormat="1" ht="13.5" hidden="1" customHeight="1">
      <c r="B101" s="2">
        <v>12665109</v>
      </c>
      <c r="C101" s="1" t="s">
        <v>8</v>
      </c>
      <c r="D101" s="1" t="s">
        <v>9</v>
      </c>
      <c r="E101" s="1" t="s">
        <v>26</v>
      </c>
      <c r="F101" s="3">
        <v>5160.17</v>
      </c>
      <c r="G101" s="1" t="s">
        <v>25</v>
      </c>
      <c r="H101" s="1"/>
      <c r="I101" s="1"/>
      <c r="J101" s="1" t="s">
        <v>23</v>
      </c>
    </row>
    <row r="102" spans="2:10" customFormat="1" ht="13.5" hidden="1" customHeight="1">
      <c r="B102" s="2">
        <v>12665111</v>
      </c>
      <c r="C102" s="1" t="s">
        <v>8</v>
      </c>
      <c r="D102" s="1" t="s">
        <v>9</v>
      </c>
      <c r="E102" s="1" t="s">
        <v>26</v>
      </c>
      <c r="F102" s="3">
        <v>1649.97</v>
      </c>
      <c r="G102" s="1" t="s">
        <v>19</v>
      </c>
      <c r="H102" s="1"/>
      <c r="I102" s="1"/>
      <c r="J102" s="1" t="s">
        <v>23</v>
      </c>
    </row>
    <row r="103" spans="2:10" customFormat="1" ht="13.5" hidden="1" customHeight="1">
      <c r="B103" s="2">
        <v>12665118</v>
      </c>
      <c r="C103" s="1" t="s">
        <v>8</v>
      </c>
      <c r="D103" s="1" t="s">
        <v>9</v>
      </c>
      <c r="E103" s="1" t="s">
        <v>26</v>
      </c>
      <c r="F103" s="3">
        <v>538.49</v>
      </c>
      <c r="G103" s="1" t="s">
        <v>25</v>
      </c>
      <c r="H103" s="1"/>
      <c r="I103" s="1"/>
      <c r="J103" s="1" t="s">
        <v>23</v>
      </c>
    </row>
    <row r="104" spans="2:10" customFormat="1" ht="13.5" hidden="1" customHeight="1">
      <c r="B104" s="2">
        <v>12665121</v>
      </c>
      <c r="C104" s="1" t="s">
        <v>8</v>
      </c>
      <c r="D104" s="1" t="s">
        <v>9</v>
      </c>
      <c r="E104" s="1" t="s">
        <v>26</v>
      </c>
      <c r="F104" s="3">
        <v>50299.3</v>
      </c>
      <c r="G104" s="1" t="s">
        <v>25</v>
      </c>
      <c r="H104" s="1"/>
      <c r="I104" s="1"/>
      <c r="J104" s="1" t="s">
        <v>23</v>
      </c>
    </row>
    <row r="105" spans="2:10" customFormat="1" ht="13.5" hidden="1" customHeight="1">
      <c r="B105" s="2">
        <v>12665126</v>
      </c>
      <c r="C105" s="1" t="s">
        <v>8</v>
      </c>
      <c r="D105" s="1" t="s">
        <v>9</v>
      </c>
      <c r="E105" s="1" t="s">
        <v>26</v>
      </c>
      <c r="F105" s="3">
        <v>424.67</v>
      </c>
      <c r="G105" s="1" t="s">
        <v>25</v>
      </c>
      <c r="H105" s="1"/>
      <c r="I105" s="1"/>
      <c r="J105" s="1" t="s">
        <v>23</v>
      </c>
    </row>
    <row r="106" spans="2:10" customFormat="1" ht="13.5" hidden="1" customHeight="1">
      <c r="B106" s="2">
        <v>12665129</v>
      </c>
      <c r="C106" s="1" t="s">
        <v>8</v>
      </c>
      <c r="D106" s="1" t="s">
        <v>9</v>
      </c>
      <c r="E106" s="1" t="s">
        <v>26</v>
      </c>
      <c r="F106" s="3">
        <v>827.89</v>
      </c>
      <c r="G106" s="1" t="s">
        <v>25</v>
      </c>
      <c r="H106" s="1"/>
      <c r="I106" s="1"/>
      <c r="J106" s="1" t="s">
        <v>23</v>
      </c>
    </row>
    <row r="107" spans="2:10" customFormat="1" ht="13.5" hidden="1" customHeight="1">
      <c r="B107" s="2">
        <v>12665130</v>
      </c>
      <c r="C107" s="1" t="s">
        <v>8</v>
      </c>
      <c r="D107" s="1" t="s">
        <v>9</v>
      </c>
      <c r="E107" s="1" t="s">
        <v>26</v>
      </c>
      <c r="F107" s="3">
        <v>1266.1400000000001</v>
      </c>
      <c r="G107" s="1" t="s">
        <v>25</v>
      </c>
      <c r="H107" s="1"/>
      <c r="I107" s="1"/>
      <c r="J107" s="1" t="s">
        <v>23</v>
      </c>
    </row>
    <row r="108" spans="2:10" customFormat="1" ht="13.5" hidden="1" customHeight="1">
      <c r="B108" s="2">
        <v>12665134</v>
      </c>
      <c r="C108" s="1" t="s">
        <v>8</v>
      </c>
      <c r="D108" s="1" t="s">
        <v>9</v>
      </c>
      <c r="E108" s="1" t="s">
        <v>26</v>
      </c>
      <c r="F108" s="3">
        <v>821.62</v>
      </c>
      <c r="G108" s="1" t="s">
        <v>19</v>
      </c>
      <c r="H108" s="1"/>
      <c r="I108" s="1"/>
      <c r="J108" s="1" t="s">
        <v>23</v>
      </c>
    </row>
    <row r="109" spans="2:10" customFormat="1" ht="13.5" hidden="1" customHeight="1">
      <c r="B109" s="2">
        <v>12665136</v>
      </c>
      <c r="C109" s="1" t="s">
        <v>8</v>
      </c>
      <c r="D109" s="1" t="s">
        <v>9</v>
      </c>
      <c r="E109" s="1" t="s">
        <v>26</v>
      </c>
      <c r="F109" s="3">
        <v>1583.37</v>
      </c>
      <c r="G109" s="1" t="s">
        <v>25</v>
      </c>
      <c r="H109" s="1"/>
      <c r="I109" s="1"/>
      <c r="J109" s="1" t="s">
        <v>23</v>
      </c>
    </row>
    <row r="110" spans="2:10" customFormat="1" ht="13.5" hidden="1" customHeight="1">
      <c r="B110" s="2">
        <v>12664987</v>
      </c>
      <c r="C110" s="1" t="s">
        <v>8</v>
      </c>
      <c r="D110" s="1" t="s">
        <v>9</v>
      </c>
      <c r="E110" s="1" t="s">
        <v>26</v>
      </c>
      <c r="F110" s="3">
        <v>4616.63</v>
      </c>
      <c r="G110" s="1" t="s">
        <v>25</v>
      </c>
      <c r="H110" s="1"/>
      <c r="I110" s="1"/>
      <c r="J110" s="1" t="s">
        <v>23</v>
      </c>
    </row>
    <row r="111" spans="2:10" customFormat="1" ht="13.5" hidden="1" customHeight="1">
      <c r="B111" s="2">
        <v>12664991</v>
      </c>
      <c r="C111" s="1" t="s">
        <v>8</v>
      </c>
      <c r="D111" s="1" t="s">
        <v>9</v>
      </c>
      <c r="E111" s="1" t="s">
        <v>26</v>
      </c>
      <c r="F111" s="3">
        <v>9120.4500000000007</v>
      </c>
      <c r="G111" s="1" t="s">
        <v>25</v>
      </c>
      <c r="H111" s="1"/>
      <c r="I111" s="1"/>
      <c r="J111" s="1" t="s">
        <v>23</v>
      </c>
    </row>
    <row r="112" spans="2:10" customFormat="1" ht="13.5" hidden="1" customHeight="1">
      <c r="B112" s="2">
        <v>12664997</v>
      </c>
      <c r="C112" s="1" t="s">
        <v>8</v>
      </c>
      <c r="D112" s="1" t="s">
        <v>9</v>
      </c>
      <c r="E112" s="1" t="s">
        <v>26</v>
      </c>
      <c r="F112" s="3">
        <v>350.65</v>
      </c>
      <c r="G112" s="1" t="s">
        <v>25</v>
      </c>
      <c r="H112" s="1"/>
      <c r="I112" s="1"/>
      <c r="J112" s="1" t="s">
        <v>23</v>
      </c>
    </row>
    <row r="113" spans="2:10" customFormat="1" ht="13.5" hidden="1" customHeight="1">
      <c r="B113" s="2">
        <v>12665010</v>
      </c>
      <c r="C113" s="1" t="s">
        <v>8</v>
      </c>
      <c r="D113" s="1" t="s">
        <v>9</v>
      </c>
      <c r="E113" s="1" t="s">
        <v>26</v>
      </c>
      <c r="F113" s="3">
        <v>930.36</v>
      </c>
      <c r="G113" s="1" t="s">
        <v>17</v>
      </c>
      <c r="H113" s="1"/>
      <c r="I113" s="1"/>
      <c r="J113" s="1" t="s">
        <v>23</v>
      </c>
    </row>
    <row r="114" spans="2:10" customFormat="1" ht="13.5" hidden="1" customHeight="1">
      <c r="B114" s="2">
        <v>12664974</v>
      </c>
      <c r="C114" s="1" t="s">
        <v>8</v>
      </c>
      <c r="D114" s="1" t="s">
        <v>9</v>
      </c>
      <c r="E114" s="1" t="s">
        <v>26</v>
      </c>
      <c r="F114" s="3">
        <v>5284.44</v>
      </c>
      <c r="G114" s="1" t="s">
        <v>25</v>
      </c>
      <c r="H114" s="1"/>
      <c r="I114" s="1"/>
      <c r="J114" s="1" t="s">
        <v>23</v>
      </c>
    </row>
    <row r="115" spans="2:10" customFormat="1" ht="13.5" hidden="1" customHeight="1">
      <c r="B115" s="2">
        <v>12665027</v>
      </c>
      <c r="C115" s="1" t="s">
        <v>8</v>
      </c>
      <c r="D115" s="1" t="s">
        <v>9</v>
      </c>
      <c r="E115" s="1" t="s">
        <v>26</v>
      </c>
      <c r="F115" s="3">
        <v>2100.15</v>
      </c>
      <c r="G115" s="1" t="s">
        <v>25</v>
      </c>
      <c r="H115" s="1"/>
      <c r="I115" s="1"/>
      <c r="J115" s="1" t="s">
        <v>23</v>
      </c>
    </row>
    <row r="116" spans="2:10" customFormat="1" ht="13.5" hidden="1" customHeight="1">
      <c r="B116" s="2">
        <v>12664975</v>
      </c>
      <c r="C116" s="1" t="s">
        <v>8</v>
      </c>
      <c r="D116" s="1" t="s">
        <v>9</v>
      </c>
      <c r="E116" s="1" t="s">
        <v>26</v>
      </c>
      <c r="F116" s="3">
        <v>6688.56</v>
      </c>
      <c r="G116" s="1" t="s">
        <v>25</v>
      </c>
      <c r="H116" s="1"/>
      <c r="I116" s="1"/>
      <c r="J116" s="1" t="s">
        <v>23</v>
      </c>
    </row>
    <row r="117" spans="2:10" customFormat="1" ht="13.5" hidden="1" customHeight="1">
      <c r="B117" s="2">
        <v>12665067</v>
      </c>
      <c r="C117" s="1" t="s">
        <v>8</v>
      </c>
      <c r="D117" s="1" t="s">
        <v>9</v>
      </c>
      <c r="E117" s="1" t="s">
        <v>26</v>
      </c>
      <c r="F117" s="3">
        <v>1012.39</v>
      </c>
      <c r="G117" s="1" t="s">
        <v>16</v>
      </c>
      <c r="H117" s="1"/>
      <c r="I117" s="1"/>
      <c r="J117" s="1" t="s">
        <v>23</v>
      </c>
    </row>
    <row r="118" spans="2:10" customFormat="1" ht="13.5" hidden="1" customHeight="1">
      <c r="B118" s="2">
        <v>16965615</v>
      </c>
      <c r="C118" s="1" t="s">
        <v>8</v>
      </c>
      <c r="D118" s="1" t="s">
        <v>9</v>
      </c>
      <c r="E118" s="1" t="s">
        <v>12</v>
      </c>
      <c r="F118" s="3">
        <v>1879.58</v>
      </c>
      <c r="G118" s="1" t="s">
        <v>19</v>
      </c>
      <c r="H118" s="1"/>
      <c r="I118" s="1"/>
      <c r="J118" s="1" t="s">
        <v>23</v>
      </c>
    </row>
    <row r="119" spans="2:10" customFormat="1" ht="13.5" hidden="1" customHeight="1">
      <c r="B119" s="2">
        <v>13104403</v>
      </c>
      <c r="C119" s="1" t="s">
        <v>8</v>
      </c>
      <c r="D119" s="1" t="s">
        <v>9</v>
      </c>
      <c r="E119" s="1" t="s">
        <v>27</v>
      </c>
      <c r="F119" s="3">
        <v>1417.44</v>
      </c>
      <c r="G119" s="1" t="s">
        <v>28</v>
      </c>
      <c r="H119" s="1"/>
      <c r="I119" s="1"/>
      <c r="J119" s="1" t="s">
        <v>23</v>
      </c>
    </row>
    <row r="120" spans="2:10" customFormat="1" ht="13.5" hidden="1" customHeight="1">
      <c r="B120" s="2">
        <v>13104422</v>
      </c>
      <c r="C120" s="1" t="s">
        <v>8</v>
      </c>
      <c r="D120" s="1" t="s">
        <v>9</v>
      </c>
      <c r="E120" s="1" t="s">
        <v>27</v>
      </c>
      <c r="F120" s="3">
        <v>3220.84</v>
      </c>
      <c r="G120" s="1" t="s">
        <v>19</v>
      </c>
      <c r="H120" s="1"/>
      <c r="I120" s="1"/>
      <c r="J120" s="1" t="s">
        <v>23</v>
      </c>
    </row>
    <row r="121" spans="2:10" customFormat="1" ht="13.5" hidden="1" customHeight="1">
      <c r="B121" s="2">
        <v>13104423</v>
      </c>
      <c r="C121" s="1" t="s">
        <v>8</v>
      </c>
      <c r="D121" s="1" t="s">
        <v>9</v>
      </c>
      <c r="E121" s="1" t="s">
        <v>27</v>
      </c>
      <c r="F121" s="3">
        <v>1979.86</v>
      </c>
      <c r="G121" s="1" t="s">
        <v>19</v>
      </c>
      <c r="H121" s="1"/>
      <c r="I121" s="1"/>
      <c r="J121" s="1" t="s">
        <v>23</v>
      </c>
    </row>
    <row r="122" spans="2:10" customFormat="1" ht="13.5" hidden="1" customHeight="1">
      <c r="B122" s="2">
        <v>13104424</v>
      </c>
      <c r="C122" s="1" t="s">
        <v>8</v>
      </c>
      <c r="D122" s="1" t="s">
        <v>9</v>
      </c>
      <c r="E122" s="1" t="s">
        <v>27</v>
      </c>
      <c r="F122" s="3">
        <v>5155.17</v>
      </c>
      <c r="G122" s="1" t="s">
        <v>19</v>
      </c>
      <c r="H122" s="1"/>
      <c r="I122" s="1"/>
      <c r="J122" s="1" t="s">
        <v>23</v>
      </c>
    </row>
    <row r="123" spans="2:10" customFormat="1" ht="13.5" hidden="1" customHeight="1">
      <c r="B123" s="2">
        <v>13104425</v>
      </c>
      <c r="C123" s="1" t="s">
        <v>8</v>
      </c>
      <c r="D123" s="1" t="s">
        <v>9</v>
      </c>
      <c r="E123" s="1" t="s">
        <v>27</v>
      </c>
      <c r="F123" s="3">
        <v>1947.35</v>
      </c>
      <c r="G123" s="1" t="s">
        <v>19</v>
      </c>
      <c r="H123" s="1"/>
      <c r="I123" s="1"/>
      <c r="J123" s="1" t="s">
        <v>23</v>
      </c>
    </row>
    <row r="124" spans="2:10" customFormat="1" ht="13.5" hidden="1" customHeight="1">
      <c r="B124" s="2">
        <v>13104426</v>
      </c>
      <c r="C124" s="1" t="s">
        <v>8</v>
      </c>
      <c r="D124" s="1" t="s">
        <v>9</v>
      </c>
      <c r="E124" s="1" t="s">
        <v>27</v>
      </c>
      <c r="F124" s="3">
        <v>9664.73</v>
      </c>
      <c r="G124" s="1" t="s">
        <v>19</v>
      </c>
      <c r="H124" s="1"/>
      <c r="I124" s="1"/>
      <c r="J124" s="1" t="s">
        <v>23</v>
      </c>
    </row>
    <row r="125" spans="2:10" customFormat="1" ht="13.5" hidden="1" customHeight="1">
      <c r="B125" s="2">
        <v>13104427</v>
      </c>
      <c r="C125" s="1" t="s">
        <v>8</v>
      </c>
      <c r="D125" s="1" t="s">
        <v>9</v>
      </c>
      <c r="E125" s="1" t="s">
        <v>27</v>
      </c>
      <c r="F125" s="3">
        <v>2961.41</v>
      </c>
      <c r="G125" s="1" t="s">
        <v>19</v>
      </c>
      <c r="H125" s="1"/>
      <c r="I125" s="1"/>
      <c r="J125" s="1" t="s">
        <v>23</v>
      </c>
    </row>
    <row r="126" spans="2:10" customFormat="1" ht="13.5" hidden="1" customHeight="1">
      <c r="B126" s="2">
        <v>12804905</v>
      </c>
      <c r="C126" s="1" t="s">
        <v>8</v>
      </c>
      <c r="D126" s="1" t="s">
        <v>9</v>
      </c>
      <c r="E126" s="1" t="s">
        <v>29</v>
      </c>
      <c r="F126" s="3">
        <v>853.13</v>
      </c>
      <c r="G126" s="1" t="s">
        <v>25</v>
      </c>
      <c r="H126" s="1"/>
      <c r="I126" s="1"/>
      <c r="J126" s="1" t="s">
        <v>23</v>
      </c>
    </row>
    <row r="127" spans="2:10" customFormat="1" ht="13.5" hidden="1" customHeight="1">
      <c r="B127" s="2">
        <v>16435786</v>
      </c>
      <c r="C127" s="1" t="s">
        <v>8</v>
      </c>
      <c r="D127" s="1" t="s">
        <v>9</v>
      </c>
      <c r="E127" s="1" t="s">
        <v>13</v>
      </c>
      <c r="F127" s="3">
        <v>1097.07</v>
      </c>
      <c r="G127" s="1" t="s">
        <v>30</v>
      </c>
      <c r="H127" s="1"/>
      <c r="I127" s="1"/>
      <c r="J127" s="1" t="s">
        <v>23</v>
      </c>
    </row>
    <row r="128" spans="2:10" customFormat="1" ht="13.5" hidden="1" customHeight="1">
      <c r="B128" s="2">
        <v>16435984</v>
      </c>
      <c r="C128" s="1" t="s">
        <v>8</v>
      </c>
      <c r="D128" s="1" t="s">
        <v>9</v>
      </c>
      <c r="E128" s="1" t="s">
        <v>13</v>
      </c>
      <c r="F128" s="3">
        <v>2253.15</v>
      </c>
      <c r="G128" s="1" t="s">
        <v>19</v>
      </c>
      <c r="H128" s="1"/>
      <c r="I128" s="1"/>
      <c r="J128" s="1" t="s">
        <v>23</v>
      </c>
    </row>
    <row r="129" spans="2:10" customFormat="1" ht="13.5" hidden="1" customHeight="1">
      <c r="B129" s="2">
        <v>16435985</v>
      </c>
      <c r="C129" s="1" t="s">
        <v>8</v>
      </c>
      <c r="D129" s="1" t="s">
        <v>9</v>
      </c>
      <c r="E129" s="1" t="s">
        <v>13</v>
      </c>
      <c r="F129" s="3">
        <v>509.98</v>
      </c>
      <c r="G129" s="1" t="s">
        <v>19</v>
      </c>
      <c r="H129" s="1"/>
      <c r="I129" s="1"/>
      <c r="J129" s="1" t="s">
        <v>23</v>
      </c>
    </row>
    <row r="130" spans="2:10" customFormat="1" ht="13.5" hidden="1" customHeight="1">
      <c r="B130" s="2">
        <v>12695907</v>
      </c>
      <c r="C130" s="1" t="s">
        <v>8</v>
      </c>
      <c r="D130" s="1" t="s">
        <v>9</v>
      </c>
      <c r="E130" s="1" t="s">
        <v>31</v>
      </c>
      <c r="F130" s="3">
        <v>2174.46</v>
      </c>
      <c r="G130" s="1" t="s">
        <v>28</v>
      </c>
      <c r="H130" s="1"/>
      <c r="I130" s="1"/>
      <c r="J130" s="1" t="s">
        <v>23</v>
      </c>
    </row>
    <row r="131" spans="2:10" customFormat="1" ht="13.5" hidden="1" customHeight="1">
      <c r="B131" s="2">
        <v>19384190</v>
      </c>
      <c r="C131" s="1" t="s">
        <v>8</v>
      </c>
      <c r="D131" s="1" t="s">
        <v>9</v>
      </c>
      <c r="E131" s="1" t="s">
        <v>14</v>
      </c>
      <c r="F131" s="3">
        <v>825.32</v>
      </c>
      <c r="G131" s="1" t="s">
        <v>19</v>
      </c>
      <c r="H131" s="1"/>
      <c r="I131" s="1"/>
      <c r="J131" s="1" t="s">
        <v>23</v>
      </c>
    </row>
    <row r="132" spans="2:10" customFormat="1" ht="13.5" hidden="1" customHeight="1">
      <c r="B132" s="2">
        <v>13549372</v>
      </c>
      <c r="C132" s="1" t="s">
        <v>8</v>
      </c>
      <c r="D132" s="1" t="s">
        <v>9</v>
      </c>
      <c r="E132" s="1" t="s">
        <v>32</v>
      </c>
      <c r="F132" s="3">
        <v>730.85</v>
      </c>
      <c r="G132" s="1" t="s">
        <v>19</v>
      </c>
      <c r="H132" s="1"/>
      <c r="I132" s="1"/>
      <c r="J132" s="1" t="s">
        <v>23</v>
      </c>
    </row>
    <row r="133" spans="2:10" customFormat="1" ht="13.5" hidden="1" customHeight="1">
      <c r="B133" s="2">
        <v>13549373</v>
      </c>
      <c r="C133" s="1" t="s">
        <v>8</v>
      </c>
      <c r="D133" s="1" t="s">
        <v>9</v>
      </c>
      <c r="E133" s="1" t="s">
        <v>32</v>
      </c>
      <c r="F133" s="3">
        <v>426.06</v>
      </c>
      <c r="G133" s="1" t="s">
        <v>19</v>
      </c>
      <c r="H133" s="1"/>
      <c r="I133" s="1"/>
      <c r="J133" s="1" t="s">
        <v>23</v>
      </c>
    </row>
    <row r="134" spans="2:10" customFormat="1" ht="13.5" hidden="1" customHeight="1">
      <c r="B134" s="2">
        <v>13549376</v>
      </c>
      <c r="C134" s="1" t="s">
        <v>8</v>
      </c>
      <c r="D134" s="1" t="s">
        <v>9</v>
      </c>
      <c r="E134" s="1" t="s">
        <v>32</v>
      </c>
      <c r="F134" s="3">
        <v>1185.1500000000001</v>
      </c>
      <c r="G134" s="1" t="s">
        <v>19</v>
      </c>
      <c r="H134" s="1"/>
      <c r="I134" s="1"/>
      <c r="J134" s="1" t="s">
        <v>23</v>
      </c>
    </row>
    <row r="135" spans="2:10" customFormat="1" ht="13.5" hidden="1" customHeight="1">
      <c r="B135" s="2">
        <v>16707127</v>
      </c>
      <c r="C135" s="1" t="s">
        <v>8</v>
      </c>
      <c r="D135" s="1" t="s">
        <v>9</v>
      </c>
      <c r="E135" s="1" t="s">
        <v>15</v>
      </c>
      <c r="F135" s="3">
        <v>382.32</v>
      </c>
      <c r="G135" s="1" t="s">
        <v>19</v>
      </c>
      <c r="H135" s="1"/>
      <c r="I135" s="1"/>
      <c r="J135" s="1" t="s">
        <v>23</v>
      </c>
    </row>
    <row r="136" spans="2:10" customFormat="1" ht="13.5" hidden="1" customHeight="1">
      <c r="B136" s="2">
        <v>16707250</v>
      </c>
      <c r="C136" s="1" t="s">
        <v>8</v>
      </c>
      <c r="D136" s="1" t="s">
        <v>9</v>
      </c>
      <c r="E136" s="1" t="s">
        <v>15</v>
      </c>
      <c r="F136" s="3">
        <v>2259.62</v>
      </c>
      <c r="G136" s="1" t="s">
        <v>19</v>
      </c>
      <c r="H136" s="1"/>
      <c r="I136" s="1"/>
      <c r="J136" s="1" t="s">
        <v>23</v>
      </c>
    </row>
    <row r="137" spans="2:10" customFormat="1" ht="13.5" hidden="1" customHeight="1">
      <c r="B137" s="2">
        <v>16707251</v>
      </c>
      <c r="C137" s="1" t="s">
        <v>8</v>
      </c>
      <c r="D137" s="1" t="s">
        <v>9</v>
      </c>
      <c r="E137" s="1" t="s">
        <v>15</v>
      </c>
      <c r="F137" s="3">
        <v>1541.23</v>
      </c>
      <c r="G137" s="1" t="s">
        <v>19</v>
      </c>
      <c r="H137" s="1"/>
      <c r="I137" s="1"/>
      <c r="J137" s="1" t="s">
        <v>23</v>
      </c>
    </row>
    <row r="138" spans="2:10" customFormat="1" ht="13.5" hidden="1" customHeight="1">
      <c r="B138" s="2">
        <v>16707252</v>
      </c>
      <c r="C138" s="1" t="s">
        <v>8</v>
      </c>
      <c r="D138" s="1" t="s">
        <v>9</v>
      </c>
      <c r="E138" s="1" t="s">
        <v>15</v>
      </c>
      <c r="F138" s="3">
        <v>1145.2</v>
      </c>
      <c r="G138" s="1" t="s">
        <v>19</v>
      </c>
      <c r="H138" s="1"/>
      <c r="I138" s="1"/>
      <c r="J138" s="1" t="s">
        <v>23</v>
      </c>
    </row>
    <row r="139" spans="2:10" customFormat="1" ht="13.5" hidden="1" customHeight="1">
      <c r="B139" s="2">
        <v>18623337</v>
      </c>
      <c r="C139" s="1" t="s">
        <v>8</v>
      </c>
      <c r="D139" s="1" t="s">
        <v>9</v>
      </c>
      <c r="E139" s="1" t="s">
        <v>33</v>
      </c>
      <c r="F139" s="3">
        <v>3351.53</v>
      </c>
      <c r="G139" s="1" t="s">
        <v>17</v>
      </c>
      <c r="H139" s="1"/>
      <c r="I139" s="1"/>
      <c r="J139" s="1" t="s">
        <v>23</v>
      </c>
    </row>
    <row r="140" spans="2:10" customFormat="1" ht="13.5" hidden="1" customHeight="1">
      <c r="B140" s="2">
        <v>18623062</v>
      </c>
      <c r="C140" s="1" t="s">
        <v>8</v>
      </c>
      <c r="D140" s="1" t="s">
        <v>9</v>
      </c>
      <c r="E140" s="1" t="s">
        <v>33</v>
      </c>
      <c r="F140" s="3">
        <v>2748.8</v>
      </c>
      <c r="G140" s="1" t="s">
        <v>19</v>
      </c>
      <c r="H140" s="1"/>
      <c r="I140" s="1"/>
      <c r="J140" s="1" t="s">
        <v>23</v>
      </c>
    </row>
    <row r="141" spans="2:10" customFormat="1" ht="13.5" hidden="1" customHeight="1">
      <c r="B141" s="2">
        <v>18623063</v>
      </c>
      <c r="C141" s="1" t="s">
        <v>8</v>
      </c>
      <c r="D141" s="1" t="s">
        <v>9</v>
      </c>
      <c r="E141" s="1" t="s">
        <v>33</v>
      </c>
      <c r="F141" s="3">
        <v>1706.44</v>
      </c>
      <c r="G141" s="1" t="s">
        <v>19</v>
      </c>
      <c r="H141" s="1"/>
      <c r="I141" s="1"/>
      <c r="J141" s="1" t="s">
        <v>23</v>
      </c>
    </row>
    <row r="142" spans="2:10" customFormat="1" ht="13.5" hidden="1" customHeight="1">
      <c r="B142" s="2">
        <v>18623065</v>
      </c>
      <c r="C142" s="1" t="s">
        <v>8</v>
      </c>
      <c r="D142" s="1" t="s">
        <v>9</v>
      </c>
      <c r="E142" s="1" t="s">
        <v>33</v>
      </c>
      <c r="F142" s="3">
        <v>2027.85</v>
      </c>
      <c r="G142" s="1" t="s">
        <v>19</v>
      </c>
      <c r="H142" s="1"/>
      <c r="I142" s="1"/>
      <c r="J142" s="1" t="s">
        <v>23</v>
      </c>
    </row>
    <row r="143" spans="2:10" customFormat="1" ht="13.5" hidden="1" customHeight="1">
      <c r="B143" s="2">
        <v>18623066</v>
      </c>
      <c r="C143" s="1" t="s">
        <v>8</v>
      </c>
      <c r="D143" s="1" t="s">
        <v>9</v>
      </c>
      <c r="E143" s="1" t="s">
        <v>33</v>
      </c>
      <c r="F143" s="3">
        <v>607.26</v>
      </c>
      <c r="G143" s="1" t="s">
        <v>19</v>
      </c>
      <c r="H143" s="1"/>
      <c r="I143" s="1"/>
      <c r="J143" s="1" t="s">
        <v>23</v>
      </c>
    </row>
    <row r="144" spans="2:10" customFormat="1" ht="13.5" hidden="1" customHeight="1">
      <c r="B144" s="2">
        <v>18623067</v>
      </c>
      <c r="C144" s="1" t="s">
        <v>8</v>
      </c>
      <c r="D144" s="1" t="s">
        <v>9</v>
      </c>
      <c r="E144" s="1" t="s">
        <v>33</v>
      </c>
      <c r="F144" s="3">
        <v>5143.1899999999996</v>
      </c>
      <c r="G144" s="1" t="s">
        <v>19</v>
      </c>
      <c r="H144" s="1"/>
      <c r="I144" s="1"/>
      <c r="J144" s="1" t="s">
        <v>23</v>
      </c>
    </row>
    <row r="145" spans="2:10" customFormat="1" ht="13.5" hidden="1" customHeight="1">
      <c r="B145" s="2">
        <v>18623068</v>
      </c>
      <c r="C145" s="1" t="s">
        <v>8</v>
      </c>
      <c r="D145" s="1" t="s">
        <v>9</v>
      </c>
      <c r="E145" s="1" t="s">
        <v>33</v>
      </c>
      <c r="F145" s="3">
        <v>6218.55</v>
      </c>
      <c r="G145" s="1" t="s">
        <v>19</v>
      </c>
      <c r="H145" s="1"/>
      <c r="I145" s="1"/>
      <c r="J145" s="1" t="s">
        <v>23</v>
      </c>
    </row>
    <row r="146" spans="2:10" customFormat="1" ht="13.5" hidden="1" customHeight="1">
      <c r="B146" s="2">
        <v>18623069</v>
      </c>
      <c r="C146" s="1" t="s">
        <v>8</v>
      </c>
      <c r="D146" s="1" t="s">
        <v>9</v>
      </c>
      <c r="E146" s="1" t="s">
        <v>33</v>
      </c>
      <c r="F146" s="3">
        <v>2842.03</v>
      </c>
      <c r="G146" s="1" t="s">
        <v>19</v>
      </c>
      <c r="H146" s="1"/>
      <c r="I146" s="1"/>
      <c r="J146" s="1" t="s">
        <v>23</v>
      </c>
    </row>
    <row r="147" spans="2:10" customFormat="1" ht="13.5" hidden="1" customHeight="1">
      <c r="B147" s="2">
        <v>18623070</v>
      </c>
      <c r="C147" s="1" t="s">
        <v>8</v>
      </c>
      <c r="D147" s="1" t="s">
        <v>9</v>
      </c>
      <c r="E147" s="1" t="s">
        <v>33</v>
      </c>
      <c r="F147" s="3">
        <v>2805.59</v>
      </c>
      <c r="G147" s="1" t="s">
        <v>19</v>
      </c>
      <c r="H147" s="1"/>
      <c r="I147" s="1"/>
      <c r="J147" s="1" t="s">
        <v>23</v>
      </c>
    </row>
    <row r="148" spans="2:10" customFormat="1" ht="13.5" hidden="1" customHeight="1">
      <c r="B148" s="2">
        <v>18623071</v>
      </c>
      <c r="C148" s="1" t="s">
        <v>8</v>
      </c>
      <c r="D148" s="1" t="s">
        <v>9</v>
      </c>
      <c r="E148" s="1" t="s">
        <v>33</v>
      </c>
      <c r="F148" s="3">
        <v>3843.86</v>
      </c>
      <c r="G148" s="1" t="s">
        <v>19</v>
      </c>
      <c r="H148" s="1"/>
      <c r="I148" s="1"/>
      <c r="J148" s="1" t="s">
        <v>23</v>
      </c>
    </row>
    <row r="149" spans="2:10" customFormat="1" ht="13.5" hidden="1" customHeight="1">
      <c r="B149" s="2">
        <v>18623072</v>
      </c>
      <c r="C149" s="1" t="s">
        <v>8</v>
      </c>
      <c r="D149" s="1" t="s">
        <v>9</v>
      </c>
      <c r="E149" s="1" t="s">
        <v>33</v>
      </c>
      <c r="F149" s="3">
        <v>550.49</v>
      </c>
      <c r="G149" s="1" t="s">
        <v>19</v>
      </c>
      <c r="H149" s="1"/>
      <c r="I149" s="1"/>
      <c r="J149" s="1" t="s">
        <v>23</v>
      </c>
    </row>
    <row r="150" spans="2:10" customFormat="1" ht="13.5" hidden="1" customHeight="1">
      <c r="B150" s="2">
        <v>18623073</v>
      </c>
      <c r="C150" s="1" t="s">
        <v>8</v>
      </c>
      <c r="D150" s="1" t="s">
        <v>9</v>
      </c>
      <c r="E150" s="1" t="s">
        <v>33</v>
      </c>
      <c r="F150" s="3">
        <v>1690.84</v>
      </c>
      <c r="G150" s="1" t="s">
        <v>19</v>
      </c>
      <c r="H150" s="1"/>
      <c r="I150" s="1"/>
      <c r="J150" s="1" t="s">
        <v>23</v>
      </c>
    </row>
    <row r="151" spans="2:10" customFormat="1" ht="13.5" hidden="1" customHeight="1">
      <c r="B151" s="2">
        <v>18623074</v>
      </c>
      <c r="C151" s="1" t="s">
        <v>8</v>
      </c>
      <c r="D151" s="1" t="s">
        <v>9</v>
      </c>
      <c r="E151" s="1" t="s">
        <v>33</v>
      </c>
      <c r="F151" s="3">
        <v>2395.12</v>
      </c>
      <c r="G151" s="1" t="s">
        <v>19</v>
      </c>
      <c r="H151" s="1"/>
      <c r="I151" s="1"/>
      <c r="J151" s="1" t="s">
        <v>23</v>
      </c>
    </row>
    <row r="152" spans="2:10" customFormat="1" ht="13.5" hidden="1" customHeight="1">
      <c r="B152" s="2">
        <v>18623075</v>
      </c>
      <c r="C152" s="1" t="s">
        <v>8</v>
      </c>
      <c r="D152" s="1" t="s">
        <v>9</v>
      </c>
      <c r="E152" s="1" t="s">
        <v>33</v>
      </c>
      <c r="F152" s="3">
        <v>5744.48</v>
      </c>
      <c r="G152" s="1" t="s">
        <v>19</v>
      </c>
      <c r="H152" s="1"/>
      <c r="I152" s="1"/>
      <c r="J152" s="1" t="s">
        <v>23</v>
      </c>
    </row>
    <row r="153" spans="2:10" customFormat="1" ht="13.5" hidden="1" customHeight="1">
      <c r="B153" s="2">
        <v>18623076</v>
      </c>
      <c r="C153" s="1" t="s">
        <v>8</v>
      </c>
      <c r="D153" s="1" t="s">
        <v>9</v>
      </c>
      <c r="E153" s="1" t="s">
        <v>33</v>
      </c>
      <c r="F153" s="3">
        <v>1302.48</v>
      </c>
      <c r="G153" s="1" t="s">
        <v>19</v>
      </c>
      <c r="H153" s="1"/>
      <c r="I153" s="1"/>
      <c r="J153" s="1" t="s">
        <v>23</v>
      </c>
    </row>
    <row r="154" spans="2:10" customFormat="1" ht="13.5" hidden="1" customHeight="1">
      <c r="B154" s="2">
        <v>18623077</v>
      </c>
      <c r="C154" s="1" t="s">
        <v>8</v>
      </c>
      <c r="D154" s="1" t="s">
        <v>9</v>
      </c>
      <c r="E154" s="1" t="s">
        <v>33</v>
      </c>
      <c r="F154" s="3">
        <v>2316.81</v>
      </c>
      <c r="G154" s="1" t="s">
        <v>19</v>
      </c>
      <c r="H154" s="1"/>
      <c r="I154" s="1"/>
      <c r="J154" s="1" t="s">
        <v>23</v>
      </c>
    </row>
    <row r="155" spans="2:10" customFormat="1" ht="13.5" hidden="1" customHeight="1">
      <c r="B155" s="2">
        <v>18623078</v>
      </c>
      <c r="C155" s="1" t="s">
        <v>8</v>
      </c>
      <c r="D155" s="1" t="s">
        <v>9</v>
      </c>
      <c r="E155" s="1" t="s">
        <v>33</v>
      </c>
      <c r="F155" s="3">
        <v>3086.5</v>
      </c>
      <c r="G155" s="1" t="s">
        <v>19</v>
      </c>
      <c r="H155" s="1"/>
      <c r="I155" s="1"/>
      <c r="J155" s="1" t="s">
        <v>23</v>
      </c>
    </row>
    <row r="156" spans="2:10" customFormat="1" ht="13.5" hidden="1" customHeight="1">
      <c r="B156" s="2">
        <v>18623079</v>
      </c>
      <c r="C156" s="1" t="s">
        <v>8</v>
      </c>
      <c r="D156" s="1" t="s">
        <v>9</v>
      </c>
      <c r="E156" s="1" t="s">
        <v>33</v>
      </c>
      <c r="F156" s="3">
        <v>7551.92</v>
      </c>
      <c r="G156" s="1" t="s">
        <v>19</v>
      </c>
      <c r="H156" s="1"/>
      <c r="I156" s="1"/>
      <c r="J156" s="1" t="s">
        <v>23</v>
      </c>
    </row>
    <row r="157" spans="2:10" customFormat="1" ht="13.5" hidden="1" customHeight="1">
      <c r="B157" s="2">
        <v>18623080</v>
      </c>
      <c r="C157" s="1" t="s">
        <v>8</v>
      </c>
      <c r="D157" s="1" t="s">
        <v>9</v>
      </c>
      <c r="E157" s="1" t="s">
        <v>33</v>
      </c>
      <c r="F157" s="3">
        <v>2212.2199999999998</v>
      </c>
      <c r="G157" s="1" t="s">
        <v>19</v>
      </c>
      <c r="H157" s="1"/>
      <c r="I157" s="1"/>
      <c r="J157" s="1" t="s">
        <v>23</v>
      </c>
    </row>
    <row r="158" spans="2:10" customFormat="1" ht="13.5" hidden="1" customHeight="1">
      <c r="B158" s="2">
        <v>18623081</v>
      </c>
      <c r="C158" s="1" t="s">
        <v>8</v>
      </c>
      <c r="D158" s="1" t="s">
        <v>9</v>
      </c>
      <c r="E158" s="1" t="s">
        <v>33</v>
      </c>
      <c r="F158" s="3">
        <v>1750.43</v>
      </c>
      <c r="G158" s="1" t="s">
        <v>19</v>
      </c>
      <c r="H158" s="1"/>
      <c r="I158" s="1"/>
      <c r="J158" s="1" t="s">
        <v>23</v>
      </c>
    </row>
    <row r="159" spans="2:10" customFormat="1" ht="13.5" hidden="1" customHeight="1">
      <c r="B159" s="2">
        <v>18623082</v>
      </c>
      <c r="C159" s="1" t="s">
        <v>8</v>
      </c>
      <c r="D159" s="1" t="s">
        <v>9</v>
      </c>
      <c r="E159" s="1" t="s">
        <v>33</v>
      </c>
      <c r="F159" s="3">
        <v>1019.6</v>
      </c>
      <c r="G159" s="1" t="s">
        <v>19</v>
      </c>
      <c r="H159" s="1"/>
      <c r="I159" s="1"/>
      <c r="J159" s="1" t="s">
        <v>23</v>
      </c>
    </row>
    <row r="160" spans="2:10" customFormat="1" ht="13.5" hidden="1" customHeight="1">
      <c r="B160" s="2">
        <v>18623083</v>
      </c>
      <c r="C160" s="1" t="s">
        <v>8</v>
      </c>
      <c r="D160" s="1" t="s">
        <v>9</v>
      </c>
      <c r="E160" s="1" t="s">
        <v>33</v>
      </c>
      <c r="F160" s="3">
        <v>1117.72</v>
      </c>
      <c r="G160" s="1" t="s">
        <v>19</v>
      </c>
      <c r="H160" s="1"/>
      <c r="I160" s="1"/>
      <c r="J160" s="1" t="s">
        <v>23</v>
      </c>
    </row>
    <row r="161" spans="1:11" customFormat="1" ht="13.5" hidden="1" customHeight="1">
      <c r="B161" s="2">
        <v>18623084</v>
      </c>
      <c r="C161" s="1" t="s">
        <v>8</v>
      </c>
      <c r="D161" s="1" t="s">
        <v>9</v>
      </c>
      <c r="E161" s="1" t="s">
        <v>33</v>
      </c>
      <c r="F161" s="3">
        <v>332.45</v>
      </c>
      <c r="G161" s="1" t="s">
        <v>19</v>
      </c>
      <c r="H161" s="1"/>
      <c r="I161" s="1"/>
      <c r="J161" s="1" t="s">
        <v>23</v>
      </c>
    </row>
    <row r="162" spans="1:11" customFormat="1" ht="13.5" hidden="1" customHeight="1">
      <c r="B162" s="2">
        <v>18623085</v>
      </c>
      <c r="C162" s="1" t="s">
        <v>8</v>
      </c>
      <c r="D162" s="1" t="s">
        <v>9</v>
      </c>
      <c r="E162" s="1" t="s">
        <v>33</v>
      </c>
      <c r="F162" s="3">
        <v>565.67999999999995</v>
      </c>
      <c r="G162" s="1" t="s">
        <v>19</v>
      </c>
      <c r="H162" s="1"/>
      <c r="I162" s="1"/>
      <c r="J162" s="1" t="s">
        <v>23</v>
      </c>
    </row>
    <row r="163" spans="1:11" customFormat="1" ht="13.5" hidden="1" customHeight="1">
      <c r="B163" s="2">
        <v>18623086</v>
      </c>
      <c r="C163" s="1" t="s">
        <v>8</v>
      </c>
      <c r="D163" s="1" t="s">
        <v>9</v>
      </c>
      <c r="E163" s="1" t="s">
        <v>33</v>
      </c>
      <c r="F163" s="3">
        <v>5551.7</v>
      </c>
      <c r="G163" s="1" t="s">
        <v>19</v>
      </c>
      <c r="H163" s="1"/>
      <c r="I163" s="1"/>
      <c r="J163" s="1" t="s">
        <v>23</v>
      </c>
    </row>
    <row r="164" spans="1:11" customFormat="1" ht="13.5" hidden="1" customHeight="1">
      <c r="B164" s="2">
        <v>18623087</v>
      </c>
      <c r="C164" s="1" t="s">
        <v>8</v>
      </c>
      <c r="D164" s="1" t="s">
        <v>9</v>
      </c>
      <c r="E164" s="1" t="s">
        <v>33</v>
      </c>
      <c r="F164" s="3">
        <v>544.09</v>
      </c>
      <c r="G164" s="1" t="s">
        <v>19</v>
      </c>
      <c r="H164" s="1"/>
      <c r="I164" s="1"/>
      <c r="J164" s="1" t="s">
        <v>23</v>
      </c>
    </row>
    <row r="165" spans="1:11" customFormat="1" ht="13.5" hidden="1" customHeight="1">
      <c r="B165" s="2">
        <v>18623088</v>
      </c>
      <c r="C165" s="1" t="s">
        <v>8</v>
      </c>
      <c r="D165" s="1" t="s">
        <v>9</v>
      </c>
      <c r="E165" s="1" t="s">
        <v>33</v>
      </c>
      <c r="F165" s="3">
        <v>5779.49</v>
      </c>
      <c r="G165" s="1" t="s">
        <v>19</v>
      </c>
      <c r="H165" s="1"/>
      <c r="I165" s="1"/>
      <c r="J165" s="1" t="s">
        <v>23</v>
      </c>
    </row>
    <row r="166" spans="1:11" customFormat="1" ht="13.5" hidden="1" customHeight="1">
      <c r="B166" s="2">
        <v>18623089</v>
      </c>
      <c r="C166" s="1" t="s">
        <v>8</v>
      </c>
      <c r="D166" s="1" t="s">
        <v>9</v>
      </c>
      <c r="E166" s="1" t="s">
        <v>33</v>
      </c>
      <c r="F166" s="3">
        <v>1691.94</v>
      </c>
      <c r="G166" s="1" t="s">
        <v>19</v>
      </c>
      <c r="H166" s="1"/>
      <c r="I166" s="1"/>
      <c r="J166" s="1" t="s">
        <v>23</v>
      </c>
    </row>
    <row r="167" spans="1:11" customFormat="1" ht="13.5" hidden="1" customHeight="1">
      <c r="B167" s="2">
        <v>18623091</v>
      </c>
      <c r="C167" s="1" t="s">
        <v>8</v>
      </c>
      <c r="D167" s="1" t="s">
        <v>9</v>
      </c>
      <c r="E167" s="1" t="s">
        <v>33</v>
      </c>
      <c r="F167" s="3">
        <v>434.59</v>
      </c>
      <c r="G167" s="1" t="s">
        <v>19</v>
      </c>
      <c r="H167" s="1"/>
      <c r="I167" s="1"/>
      <c r="J167" s="1" t="s">
        <v>23</v>
      </c>
    </row>
    <row r="168" spans="1:11" customFormat="1" ht="13.5" hidden="1" customHeight="1">
      <c r="B168" s="5"/>
      <c r="C168" s="4"/>
      <c r="D168" s="4"/>
      <c r="E168" s="4"/>
      <c r="F168" s="5" t="s">
        <v>34</v>
      </c>
      <c r="G168" s="4"/>
      <c r="H168" s="4"/>
      <c r="I168" s="4"/>
      <c r="J168" s="4"/>
    </row>
    <row r="169" spans="1:11" s="44" customFormat="1">
      <c r="A169" s="64">
        <v>168310</v>
      </c>
      <c r="B169" s="36"/>
      <c r="C169" s="36" t="s">
        <v>82</v>
      </c>
      <c r="D169" s="36" t="s">
        <v>14</v>
      </c>
      <c r="E169" s="36" t="s">
        <v>15</v>
      </c>
      <c r="F169" s="36"/>
      <c r="G169" s="36" t="s">
        <v>85</v>
      </c>
      <c r="H169" s="36"/>
      <c r="I169" s="12" t="s">
        <v>38</v>
      </c>
      <c r="J169" s="59"/>
      <c r="K169" s="36"/>
    </row>
    <row r="170" spans="1:11" s="44" customFormat="1">
      <c r="A170" s="64">
        <v>168313</v>
      </c>
      <c r="B170" s="36"/>
      <c r="C170" s="36" t="s">
        <v>82</v>
      </c>
      <c r="D170" s="36" t="s">
        <v>14</v>
      </c>
      <c r="E170" s="36" t="s">
        <v>15</v>
      </c>
      <c r="F170" s="36"/>
      <c r="G170" s="36" t="s">
        <v>85</v>
      </c>
      <c r="H170" s="36"/>
      <c r="I170" s="12" t="s">
        <v>38</v>
      </c>
      <c r="J170" s="59"/>
      <c r="K170" s="36"/>
    </row>
    <row r="171" spans="1:11" s="44" customFormat="1">
      <c r="A171" s="64">
        <v>168589</v>
      </c>
      <c r="B171" s="36"/>
      <c r="C171" s="36" t="s">
        <v>82</v>
      </c>
      <c r="D171" s="36" t="s">
        <v>14</v>
      </c>
      <c r="E171" s="36" t="s">
        <v>15</v>
      </c>
      <c r="F171" s="36"/>
      <c r="G171" s="36" t="s">
        <v>85</v>
      </c>
      <c r="H171" s="36"/>
      <c r="I171" s="12" t="s">
        <v>38</v>
      </c>
      <c r="J171" s="59"/>
      <c r="K171" s="36"/>
    </row>
    <row r="172" spans="1:11" s="44" customFormat="1">
      <c r="A172" s="64">
        <v>168598</v>
      </c>
      <c r="B172" s="36"/>
      <c r="C172" s="36" t="s">
        <v>82</v>
      </c>
      <c r="D172" s="36" t="s">
        <v>14</v>
      </c>
      <c r="E172" s="36" t="s">
        <v>15</v>
      </c>
      <c r="F172" s="36"/>
      <c r="G172" s="36" t="s">
        <v>85</v>
      </c>
      <c r="H172" s="36"/>
      <c r="I172" s="12" t="s">
        <v>38</v>
      </c>
      <c r="J172" s="59"/>
      <c r="K172" s="36"/>
    </row>
    <row r="173" spans="1:11" s="44" customFormat="1">
      <c r="A173" s="64">
        <v>168599</v>
      </c>
      <c r="B173" s="36"/>
      <c r="C173" s="36" t="s">
        <v>82</v>
      </c>
      <c r="D173" s="36" t="s">
        <v>14</v>
      </c>
      <c r="E173" s="36" t="s">
        <v>15</v>
      </c>
      <c r="F173" s="36"/>
      <c r="G173" s="36" t="s">
        <v>85</v>
      </c>
      <c r="H173" s="36"/>
      <c r="I173" s="12" t="s">
        <v>38</v>
      </c>
      <c r="J173" s="59"/>
      <c r="K173" s="36"/>
    </row>
    <row r="174" spans="1:11" s="44" customFormat="1">
      <c r="A174" s="64">
        <v>168600</v>
      </c>
      <c r="B174" s="36"/>
      <c r="C174" s="36" t="s">
        <v>82</v>
      </c>
      <c r="D174" s="36" t="s">
        <v>14</v>
      </c>
      <c r="E174" s="36" t="s">
        <v>15</v>
      </c>
      <c r="F174" s="36"/>
      <c r="G174" s="36" t="s">
        <v>85</v>
      </c>
      <c r="H174" s="36"/>
      <c r="I174" s="12" t="s">
        <v>38</v>
      </c>
      <c r="J174" s="59"/>
      <c r="K174" s="36"/>
    </row>
    <row r="175" spans="1:11" s="44" customFormat="1">
      <c r="A175" s="64">
        <v>168604</v>
      </c>
      <c r="B175" s="36"/>
      <c r="C175" s="36" t="s">
        <v>82</v>
      </c>
      <c r="D175" s="36" t="s">
        <v>14</v>
      </c>
      <c r="E175" s="36" t="s">
        <v>15</v>
      </c>
      <c r="F175" s="36"/>
      <c r="G175" s="36" t="s">
        <v>85</v>
      </c>
      <c r="H175" s="36"/>
      <c r="I175" s="12" t="s">
        <v>38</v>
      </c>
      <c r="J175" s="59"/>
      <c r="K175" s="36"/>
    </row>
    <row r="176" spans="1:11">
      <c r="K176" s="46"/>
    </row>
  </sheetData>
  <autoFilter ref="B1:J168" xr:uid="{00000000-0009-0000-0000-000000000000}">
    <filterColumn colId="8">
      <filters>
        <filter val="1.Öncelik - İmar Planı Sahasında"/>
      </filters>
    </filterColumn>
  </autoFilter>
  <sortState xmlns:xlrd2="http://schemas.microsoft.com/office/spreadsheetml/2017/richdata2" ref="B2:J50">
    <sortCondition ref="C2:C50"/>
    <sortCondition ref="D2:D50"/>
    <sortCondition ref="E2:E50"/>
  </sortState>
  <pageMargins left="0.60000002384185802" right="0.40000000596046398" top="0.80000001192092896" bottom="0.60000002384185802" header="0.3" footer="0.3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>
      <selection activeCell="L20" sqref="L20:O26"/>
    </sheetView>
  </sheetViews>
  <sheetFormatPr defaultRowHeight="15"/>
  <cols>
    <col min="5" max="5" width="11.140625" bestFit="1" customWidth="1"/>
    <col min="7" max="7" width="54" bestFit="1" customWidth="1"/>
    <col min="8" max="8" width="9.85546875" bestFit="1" customWidth="1"/>
    <col min="9" max="9" width="16.140625" bestFit="1" customWidth="1"/>
  </cols>
  <sheetData>
    <row r="1" spans="1:17">
      <c r="A1">
        <v>168484</v>
      </c>
      <c r="B1">
        <v>16170110</v>
      </c>
      <c r="C1" t="s">
        <v>8</v>
      </c>
      <c r="D1" t="s">
        <v>9</v>
      </c>
      <c r="E1" t="s">
        <v>10</v>
      </c>
      <c r="F1">
        <v>669.41</v>
      </c>
      <c r="G1" t="s">
        <v>41</v>
      </c>
      <c r="H1" t="s">
        <v>39</v>
      </c>
      <c r="I1" t="s">
        <v>37</v>
      </c>
      <c r="L1" s="6">
        <v>168484</v>
      </c>
      <c r="M1" t="s">
        <v>82</v>
      </c>
      <c r="N1" t="s">
        <v>14</v>
      </c>
      <c r="O1" t="s">
        <v>10</v>
      </c>
      <c r="Q1" t="b">
        <f>L1=A1</f>
        <v>1</v>
      </c>
    </row>
    <row r="2" spans="1:17">
      <c r="A2">
        <v>168491</v>
      </c>
      <c r="B2">
        <v>16170398</v>
      </c>
      <c r="C2" t="s">
        <v>8</v>
      </c>
      <c r="D2" t="s">
        <v>9</v>
      </c>
      <c r="E2" t="s">
        <v>10</v>
      </c>
      <c r="F2">
        <v>576.6</v>
      </c>
      <c r="G2" t="s">
        <v>44</v>
      </c>
      <c r="H2" t="s">
        <v>39</v>
      </c>
      <c r="I2" t="s">
        <v>37</v>
      </c>
      <c r="L2" s="6">
        <v>168491</v>
      </c>
      <c r="M2" t="s">
        <v>82</v>
      </c>
      <c r="N2" t="s">
        <v>14</v>
      </c>
      <c r="O2" t="s">
        <v>10</v>
      </c>
      <c r="Q2" t="b">
        <f>L2=A2</f>
        <v>1</v>
      </c>
    </row>
    <row r="3" spans="1:17">
      <c r="A3">
        <v>168593</v>
      </c>
      <c r="B3">
        <v>16170414</v>
      </c>
      <c r="C3" t="s">
        <v>8</v>
      </c>
      <c r="D3" t="s">
        <v>9</v>
      </c>
      <c r="E3" t="s">
        <v>10</v>
      </c>
      <c r="F3">
        <v>411.82</v>
      </c>
      <c r="G3" t="s">
        <v>42</v>
      </c>
      <c r="H3" t="s">
        <v>43</v>
      </c>
      <c r="I3" t="s">
        <v>37</v>
      </c>
      <c r="L3" s="6">
        <v>168593</v>
      </c>
      <c r="M3" t="s">
        <v>82</v>
      </c>
      <c r="N3" t="s">
        <v>14</v>
      </c>
      <c r="O3" t="s">
        <v>10</v>
      </c>
      <c r="Q3" t="b">
        <f>L3=A3</f>
        <v>1</v>
      </c>
    </row>
    <row r="4" spans="1:17">
      <c r="Q4" t="b">
        <f>Sheet!A17=A4</f>
        <v>0</v>
      </c>
    </row>
    <row r="5" spans="1:17">
      <c r="A5">
        <v>168494</v>
      </c>
      <c r="B5">
        <v>16435570</v>
      </c>
      <c r="C5" t="s">
        <v>8</v>
      </c>
      <c r="D5" t="s">
        <v>9</v>
      </c>
      <c r="E5" t="s">
        <v>13</v>
      </c>
      <c r="F5">
        <v>1245.1600000000001</v>
      </c>
      <c r="G5" t="s">
        <v>44</v>
      </c>
      <c r="H5" t="s">
        <v>39</v>
      </c>
      <c r="I5" t="s">
        <v>37</v>
      </c>
      <c r="L5" s="6">
        <v>168494</v>
      </c>
      <c r="M5" t="s">
        <v>82</v>
      </c>
      <c r="N5" t="s">
        <v>14</v>
      </c>
      <c r="O5" t="s">
        <v>13</v>
      </c>
      <c r="Q5" t="b">
        <f>L5=A5</f>
        <v>1</v>
      </c>
    </row>
    <row r="6" spans="1:17">
      <c r="Q6" t="b">
        <f>Sheet!A40=A6</f>
        <v>0</v>
      </c>
    </row>
    <row r="7" spans="1:17">
      <c r="Q7" t="b">
        <f>Sheet!A41=A7</f>
        <v>0</v>
      </c>
    </row>
    <row r="8" spans="1:17">
      <c r="Q8" t="b">
        <f>Sheet!A42=A8</f>
        <v>0</v>
      </c>
    </row>
    <row r="9" spans="1:17">
      <c r="A9">
        <v>168554</v>
      </c>
      <c r="B9">
        <v>16436124</v>
      </c>
      <c r="C9" t="s">
        <v>8</v>
      </c>
      <c r="D9" t="s">
        <v>9</v>
      </c>
      <c r="E9" t="s">
        <v>13</v>
      </c>
      <c r="F9">
        <v>831.32</v>
      </c>
      <c r="G9" t="s">
        <v>44</v>
      </c>
      <c r="H9" t="s">
        <v>39</v>
      </c>
      <c r="I9" t="s">
        <v>37</v>
      </c>
      <c r="L9" s="6">
        <v>168554</v>
      </c>
      <c r="M9" t="s">
        <v>82</v>
      </c>
      <c r="N9" t="s">
        <v>14</v>
      </c>
      <c r="O9" t="s">
        <v>13</v>
      </c>
      <c r="Q9" t="b">
        <f t="shared" ref="Q9:Q19" si="0">L9=A9</f>
        <v>1</v>
      </c>
    </row>
    <row r="10" spans="1:17">
      <c r="A10">
        <v>168590</v>
      </c>
      <c r="B10">
        <v>16436109</v>
      </c>
      <c r="C10" t="s">
        <v>8</v>
      </c>
      <c r="D10" t="s">
        <v>9</v>
      </c>
      <c r="E10" t="s">
        <v>13</v>
      </c>
      <c r="F10">
        <v>743.43</v>
      </c>
      <c r="G10" t="s">
        <v>44</v>
      </c>
      <c r="H10" t="s">
        <v>39</v>
      </c>
      <c r="I10" t="s">
        <v>37</v>
      </c>
      <c r="L10" s="6">
        <v>168590</v>
      </c>
      <c r="M10" t="s">
        <v>82</v>
      </c>
      <c r="N10" t="s">
        <v>14</v>
      </c>
      <c r="O10" t="s">
        <v>13</v>
      </c>
      <c r="Q10" t="b">
        <f t="shared" si="0"/>
        <v>1</v>
      </c>
    </row>
    <row r="11" spans="1:17">
      <c r="A11">
        <v>168597</v>
      </c>
      <c r="B11">
        <v>16436036</v>
      </c>
      <c r="C11" t="s">
        <v>8</v>
      </c>
      <c r="D11" t="s">
        <v>9</v>
      </c>
      <c r="E11" t="s">
        <v>13</v>
      </c>
      <c r="F11">
        <v>500.87</v>
      </c>
      <c r="G11" t="s">
        <v>44</v>
      </c>
      <c r="H11" t="s">
        <v>39</v>
      </c>
      <c r="I11" t="s">
        <v>37</v>
      </c>
      <c r="L11" s="6">
        <v>168597</v>
      </c>
      <c r="M11" t="s">
        <v>82</v>
      </c>
      <c r="N11" t="s">
        <v>14</v>
      </c>
      <c r="O11" t="s">
        <v>13</v>
      </c>
      <c r="Q11" t="b">
        <f t="shared" si="0"/>
        <v>1</v>
      </c>
    </row>
    <row r="12" spans="1:17">
      <c r="A12">
        <v>168601</v>
      </c>
      <c r="B12">
        <v>16436042</v>
      </c>
      <c r="C12" t="s">
        <v>8</v>
      </c>
      <c r="D12" t="s">
        <v>9</v>
      </c>
      <c r="E12" t="s">
        <v>13</v>
      </c>
      <c r="F12">
        <v>464.73</v>
      </c>
      <c r="G12" t="s">
        <v>44</v>
      </c>
      <c r="H12" t="s">
        <v>39</v>
      </c>
      <c r="I12" t="s">
        <v>37</v>
      </c>
      <c r="L12" s="6">
        <v>168601</v>
      </c>
      <c r="M12" t="s">
        <v>82</v>
      </c>
      <c r="N12" t="s">
        <v>14</v>
      </c>
      <c r="O12" t="s">
        <v>13</v>
      </c>
      <c r="Q12" t="b">
        <f t="shared" si="0"/>
        <v>1</v>
      </c>
    </row>
    <row r="13" spans="1:17">
      <c r="A13">
        <v>168603</v>
      </c>
      <c r="B13">
        <v>16436065</v>
      </c>
      <c r="C13" t="s">
        <v>8</v>
      </c>
      <c r="D13" t="s">
        <v>9</v>
      </c>
      <c r="E13" t="s">
        <v>13</v>
      </c>
      <c r="F13">
        <v>356.25</v>
      </c>
      <c r="G13" t="s">
        <v>44</v>
      </c>
      <c r="H13" t="s">
        <v>39</v>
      </c>
      <c r="I13" t="s">
        <v>37</v>
      </c>
      <c r="L13" s="6">
        <v>168603</v>
      </c>
      <c r="M13" t="s">
        <v>82</v>
      </c>
      <c r="N13" t="s">
        <v>14</v>
      </c>
      <c r="O13" t="s">
        <v>13</v>
      </c>
      <c r="Q13" t="b">
        <f t="shared" si="0"/>
        <v>1</v>
      </c>
    </row>
    <row r="14" spans="1:17">
      <c r="A14">
        <v>168605</v>
      </c>
      <c r="B14">
        <v>16435921</v>
      </c>
      <c r="C14" t="s">
        <v>8</v>
      </c>
      <c r="D14" t="s">
        <v>9</v>
      </c>
      <c r="E14" t="s">
        <v>13</v>
      </c>
      <c r="F14">
        <v>1159.17</v>
      </c>
      <c r="G14" t="s">
        <v>44</v>
      </c>
      <c r="H14" t="s">
        <v>39</v>
      </c>
      <c r="I14" t="s">
        <v>37</v>
      </c>
      <c r="L14" s="6">
        <v>168605</v>
      </c>
      <c r="M14" t="s">
        <v>82</v>
      </c>
      <c r="N14" t="s">
        <v>14</v>
      </c>
      <c r="O14" t="s">
        <v>13</v>
      </c>
      <c r="Q14" t="b">
        <f t="shared" si="0"/>
        <v>1</v>
      </c>
    </row>
    <row r="15" spans="1:17">
      <c r="A15">
        <v>168606</v>
      </c>
      <c r="B15">
        <v>16436048</v>
      </c>
      <c r="C15" t="s">
        <v>8</v>
      </c>
      <c r="D15" t="s">
        <v>9</v>
      </c>
      <c r="E15" t="s">
        <v>13</v>
      </c>
      <c r="F15">
        <v>618.48</v>
      </c>
      <c r="G15" t="s">
        <v>44</v>
      </c>
      <c r="H15" t="s">
        <v>39</v>
      </c>
      <c r="I15" t="s">
        <v>37</v>
      </c>
      <c r="L15" s="6">
        <v>168606</v>
      </c>
      <c r="M15" t="s">
        <v>82</v>
      </c>
      <c r="N15" t="s">
        <v>14</v>
      </c>
      <c r="O15" t="s">
        <v>13</v>
      </c>
      <c r="Q15" t="b">
        <f t="shared" si="0"/>
        <v>1</v>
      </c>
    </row>
    <row r="16" spans="1:17">
      <c r="A16">
        <v>168607</v>
      </c>
      <c r="B16">
        <v>16436034</v>
      </c>
      <c r="C16" t="s">
        <v>8</v>
      </c>
      <c r="D16" t="s">
        <v>9</v>
      </c>
      <c r="E16" t="s">
        <v>13</v>
      </c>
      <c r="F16">
        <v>396.27</v>
      </c>
      <c r="G16" t="s">
        <v>44</v>
      </c>
      <c r="H16" t="s">
        <v>39</v>
      </c>
      <c r="I16" t="s">
        <v>37</v>
      </c>
      <c r="L16" s="6">
        <v>168607</v>
      </c>
      <c r="M16" t="s">
        <v>82</v>
      </c>
      <c r="N16" t="s">
        <v>14</v>
      </c>
      <c r="O16" t="s">
        <v>13</v>
      </c>
      <c r="Q16" t="b">
        <f t="shared" si="0"/>
        <v>1</v>
      </c>
    </row>
    <row r="17" spans="1:17">
      <c r="A17">
        <v>168571</v>
      </c>
      <c r="B17">
        <v>19383837</v>
      </c>
      <c r="C17" t="s">
        <v>8</v>
      </c>
      <c r="D17" t="s">
        <v>9</v>
      </c>
      <c r="E17" t="s">
        <v>14</v>
      </c>
      <c r="F17">
        <v>1650.4</v>
      </c>
      <c r="G17" t="s">
        <v>44</v>
      </c>
      <c r="H17" t="s">
        <v>39</v>
      </c>
      <c r="I17" t="s">
        <v>37</v>
      </c>
      <c r="L17" s="6">
        <v>168571</v>
      </c>
      <c r="M17" t="s">
        <v>82</v>
      </c>
      <c r="N17" t="s">
        <v>14</v>
      </c>
      <c r="O17" t="s">
        <v>14</v>
      </c>
      <c r="Q17" t="b">
        <f t="shared" si="0"/>
        <v>1</v>
      </c>
    </row>
    <row r="18" spans="1:17">
      <c r="A18" s="6">
        <v>168576</v>
      </c>
      <c r="B18">
        <v>19383839</v>
      </c>
      <c r="C18" t="s">
        <v>8</v>
      </c>
      <c r="D18" t="s">
        <v>9</v>
      </c>
      <c r="E18" t="s">
        <v>14</v>
      </c>
      <c r="F18">
        <v>2313.81</v>
      </c>
      <c r="G18" t="s">
        <v>44</v>
      </c>
      <c r="H18" t="s">
        <v>39</v>
      </c>
      <c r="I18" t="s">
        <v>37</v>
      </c>
      <c r="L18" s="6">
        <v>168576</v>
      </c>
      <c r="M18" t="s">
        <v>82</v>
      </c>
      <c r="N18" t="s">
        <v>14</v>
      </c>
      <c r="O18" t="s">
        <v>14</v>
      </c>
      <c r="Q18" t="b">
        <f t="shared" si="0"/>
        <v>1</v>
      </c>
    </row>
    <row r="19" spans="1:17">
      <c r="A19">
        <v>168591</v>
      </c>
      <c r="B19">
        <v>19383840</v>
      </c>
      <c r="C19" t="s">
        <v>8</v>
      </c>
      <c r="D19" t="s">
        <v>9</v>
      </c>
      <c r="E19" t="s">
        <v>14</v>
      </c>
      <c r="F19">
        <v>1693.36</v>
      </c>
      <c r="G19" t="s">
        <v>44</v>
      </c>
      <c r="H19" t="s">
        <v>39</v>
      </c>
      <c r="I19" t="s">
        <v>37</v>
      </c>
      <c r="L19" s="6">
        <v>168591</v>
      </c>
      <c r="M19" t="s">
        <v>82</v>
      </c>
      <c r="N19" t="s">
        <v>14</v>
      </c>
      <c r="O19" t="s">
        <v>14</v>
      </c>
      <c r="Q19" t="b">
        <f t="shared" si="0"/>
        <v>1</v>
      </c>
    </row>
    <row r="20" spans="1:17">
      <c r="Q20" t="b">
        <f>Sheet!A169=A20</f>
        <v>0</v>
      </c>
    </row>
    <row r="21" spans="1:17">
      <c r="Q21" t="b">
        <f>Sheet!A170=A21</f>
        <v>0</v>
      </c>
    </row>
    <row r="22" spans="1:17">
      <c r="Q22" t="b">
        <f>Sheet!A171=A22</f>
        <v>0</v>
      </c>
    </row>
    <row r="23" spans="1:17">
      <c r="Q23" t="b">
        <f>Sheet!A172=A23</f>
        <v>0</v>
      </c>
    </row>
    <row r="24" spans="1:17">
      <c r="Q24" t="b">
        <f>Sheet!A173=A24</f>
        <v>0</v>
      </c>
    </row>
    <row r="25" spans="1:17">
      <c r="Q25" t="b">
        <f>Sheet!A174=A25</f>
        <v>0</v>
      </c>
    </row>
    <row r="26" spans="1:17">
      <c r="Q26" t="b">
        <f>Sheet!A175=A26</f>
        <v>0</v>
      </c>
    </row>
  </sheetData>
  <sortState xmlns:xlrd2="http://schemas.microsoft.com/office/spreadsheetml/2017/richdata2" ref="A1:I18">
    <sortCondition ref="C1:C18"/>
    <sortCondition ref="D1:D18"/>
    <sortCondition ref="E1:E18"/>
    <sortCondition ref="A1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Sheet</vt:lpstr>
      <vt:lpstr>Sayfa1</vt:lpstr>
      <vt:lpstr>Sheet!Yazdırma_Alanı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</dc:creator>
  <cp:lastModifiedBy>AYŞE ÇAKICI PEKÇETİN</cp:lastModifiedBy>
  <cp:lastPrinted>2026-04-05T10:49:05Z</cp:lastPrinted>
  <dcterms:created xsi:type="dcterms:W3CDTF">2026-04-03T17:28:53Z</dcterms:created>
  <dcterms:modified xsi:type="dcterms:W3CDTF">2026-04-17T12:58:08Z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18.1.18.0</vt:lpwstr>
  </property>
</Properties>
</file>